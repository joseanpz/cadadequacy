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735" windowWidth="23400" windowHeight="10785" activeTab="4"/>
  </bookViews>
  <sheets>
    <sheet name="Configuraciones" sheetId="2" r:id="rId1"/>
    <sheet name="EstimacionesCom" sheetId="6" r:id="rId2"/>
    <sheet name="EstimacionesHip" sheetId="10" r:id="rId3"/>
    <sheet name="EstimacionesCons" sheetId="9" r:id="rId4"/>
    <sheet name="SeriesFinales" sheetId="3" r:id="rId5"/>
  </sheets>
  <definedNames>
    <definedName name="_xlnm._FilterDatabase" localSheetId="4" hidden="1">SeriesFinales!$A$1:$F$661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 iterate="1"/>
  <pivotCaches>
    <pivotCache cacheId="6" r:id="rId6"/>
  </pivotCaches>
</workbook>
</file>

<file path=xl/calcChain.xml><?xml version="1.0" encoding="utf-8"?>
<calcChain xmlns="http://schemas.openxmlformats.org/spreadsheetml/2006/main">
  <c r="E880" i="3" l="1"/>
  <c r="F880" i="3" s="1"/>
  <c r="E879" i="3"/>
  <c r="F879" i="3" s="1"/>
  <c r="E878" i="3"/>
  <c r="F878" i="3" s="1"/>
  <c r="E877" i="3"/>
  <c r="F877" i="3" s="1"/>
  <c r="E876" i="3"/>
  <c r="F876" i="3" s="1"/>
  <c r="E875" i="3"/>
  <c r="F875" i="3" s="1"/>
  <c r="E874" i="3"/>
  <c r="F874" i="3" s="1"/>
  <c r="E873" i="3"/>
  <c r="F873" i="3" s="1"/>
  <c r="E872" i="3"/>
  <c r="F872" i="3" s="1"/>
  <c r="E871" i="3"/>
  <c r="F871" i="3" s="1"/>
  <c r="E870" i="3"/>
  <c r="F870" i="3" s="1"/>
  <c r="E869" i="3"/>
  <c r="F869" i="3" s="1"/>
  <c r="E868" i="3"/>
  <c r="F868" i="3" s="1"/>
  <c r="E867" i="3"/>
  <c r="F867" i="3" s="1"/>
  <c r="E866" i="3"/>
  <c r="F866" i="3" s="1"/>
  <c r="E865" i="3"/>
  <c r="F865" i="3" s="1"/>
  <c r="E864" i="3"/>
  <c r="F864" i="3" s="1"/>
  <c r="E863" i="3"/>
  <c r="F863" i="3" s="1"/>
  <c r="E862" i="3"/>
  <c r="F862" i="3" s="1"/>
  <c r="E861" i="3"/>
  <c r="F861" i="3" s="1"/>
  <c r="E860" i="3"/>
  <c r="F860" i="3" s="1"/>
  <c r="E859" i="3"/>
  <c r="F859" i="3" s="1"/>
  <c r="E858" i="3"/>
  <c r="F858" i="3" s="1"/>
  <c r="E857" i="3"/>
  <c r="F857" i="3" s="1"/>
  <c r="E856" i="3"/>
  <c r="F856" i="3" s="1"/>
  <c r="E855" i="3"/>
  <c r="F855" i="3" s="1"/>
  <c r="E854" i="3"/>
  <c r="F854" i="3" s="1"/>
  <c r="E853" i="3"/>
  <c r="F853" i="3" s="1"/>
  <c r="E852" i="3"/>
  <c r="F852" i="3" s="1"/>
  <c r="E851" i="3"/>
  <c r="F851" i="3" s="1"/>
  <c r="E850" i="3"/>
  <c r="F850" i="3" s="1"/>
  <c r="E849" i="3"/>
  <c r="F849" i="3" s="1"/>
  <c r="E848" i="3"/>
  <c r="F848" i="3" s="1"/>
  <c r="E847" i="3"/>
  <c r="F847" i="3" s="1"/>
  <c r="E846" i="3"/>
  <c r="F846" i="3" s="1"/>
  <c r="E845" i="3"/>
  <c r="F845" i="3" s="1"/>
  <c r="E844" i="3"/>
  <c r="F844" i="3" s="1"/>
  <c r="E843" i="3"/>
  <c r="F843" i="3" s="1"/>
  <c r="E842" i="3"/>
  <c r="F842" i="3" s="1"/>
  <c r="E841" i="3"/>
  <c r="F841" i="3" s="1"/>
  <c r="E840" i="3"/>
  <c r="F840" i="3" s="1"/>
  <c r="E839" i="3"/>
  <c r="F839" i="3" s="1"/>
  <c r="E838" i="3"/>
  <c r="F838" i="3" s="1"/>
  <c r="E837" i="3"/>
  <c r="F837" i="3" s="1"/>
  <c r="E836" i="3"/>
  <c r="F836" i="3" s="1"/>
  <c r="E835" i="3"/>
  <c r="F835" i="3" s="1"/>
  <c r="E834" i="3"/>
  <c r="F834" i="3" s="1"/>
  <c r="E833" i="3"/>
  <c r="F833" i="3" s="1"/>
  <c r="E832" i="3"/>
  <c r="F832" i="3" s="1"/>
  <c r="E831" i="3"/>
  <c r="F831" i="3" s="1"/>
  <c r="E830" i="3"/>
  <c r="F830" i="3" s="1"/>
  <c r="W17" i="6" l="1"/>
  <c r="W16" i="6"/>
  <c r="W15" i="6"/>
  <c r="N54" i="9" l="1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W14" i="6"/>
  <c r="W13" i="6"/>
  <c r="W12" i="6"/>
  <c r="W11" i="6"/>
  <c r="W10" i="6"/>
  <c r="W9" i="6"/>
  <c r="W8" i="6"/>
  <c r="W7" i="6"/>
  <c r="V13" i="6"/>
  <c r="V14" i="6"/>
  <c r="V15" i="6"/>
  <c r="V16" i="6"/>
  <c r="V17" i="6"/>
  <c r="V18" i="6"/>
  <c r="V19" i="6"/>
  <c r="V20" i="6"/>
  <c r="V21" i="6"/>
  <c r="R54" i="10" l="1"/>
  <c r="P54" i="10"/>
  <c r="O54" i="10"/>
  <c r="N54" i="10"/>
  <c r="L54" i="10"/>
  <c r="J54" i="10"/>
  <c r="R53" i="10"/>
  <c r="P53" i="10"/>
  <c r="O53" i="10"/>
  <c r="N53" i="10"/>
  <c r="L53" i="10"/>
  <c r="J53" i="10"/>
  <c r="R52" i="10"/>
  <c r="P52" i="10"/>
  <c r="O52" i="10"/>
  <c r="N52" i="10"/>
  <c r="L52" i="10"/>
  <c r="J52" i="10"/>
  <c r="R51" i="10"/>
  <c r="P51" i="10"/>
  <c r="O51" i="10"/>
  <c r="N51" i="10"/>
  <c r="L51" i="10"/>
  <c r="J51" i="10"/>
  <c r="R50" i="10"/>
  <c r="P50" i="10"/>
  <c r="O50" i="10"/>
  <c r="N50" i="10"/>
  <c r="L50" i="10"/>
  <c r="J50" i="10"/>
  <c r="R49" i="10"/>
  <c r="P49" i="10"/>
  <c r="O49" i="10"/>
  <c r="N49" i="10"/>
  <c r="L49" i="10"/>
  <c r="J49" i="10"/>
  <c r="R48" i="10"/>
  <c r="P48" i="10"/>
  <c r="O48" i="10"/>
  <c r="N48" i="10"/>
  <c r="L48" i="10"/>
  <c r="J48" i="10"/>
  <c r="R47" i="10"/>
  <c r="P47" i="10"/>
  <c r="O47" i="10"/>
  <c r="N47" i="10"/>
  <c r="L47" i="10"/>
  <c r="J47" i="10"/>
  <c r="R46" i="10"/>
  <c r="P46" i="10"/>
  <c r="O46" i="10"/>
  <c r="N46" i="10"/>
  <c r="L46" i="10"/>
  <c r="J46" i="10"/>
  <c r="R45" i="10"/>
  <c r="P45" i="10"/>
  <c r="O45" i="10"/>
  <c r="N45" i="10"/>
  <c r="L45" i="10"/>
  <c r="J45" i="10"/>
  <c r="R44" i="10"/>
  <c r="P44" i="10"/>
  <c r="O44" i="10"/>
  <c r="N44" i="10"/>
  <c r="L44" i="10"/>
  <c r="J44" i="10"/>
  <c r="R43" i="10"/>
  <c r="P43" i="10"/>
  <c r="O43" i="10"/>
  <c r="N43" i="10"/>
  <c r="L43" i="10"/>
  <c r="J43" i="10"/>
  <c r="R42" i="10"/>
  <c r="P42" i="10"/>
  <c r="O42" i="10"/>
  <c r="N42" i="10"/>
  <c r="L42" i="10"/>
  <c r="J42" i="10"/>
  <c r="R41" i="10"/>
  <c r="P41" i="10"/>
  <c r="O41" i="10"/>
  <c r="N41" i="10"/>
  <c r="L41" i="10"/>
  <c r="J41" i="10"/>
  <c r="R40" i="10"/>
  <c r="P40" i="10"/>
  <c r="O40" i="10"/>
  <c r="N40" i="10"/>
  <c r="L40" i="10"/>
  <c r="J40" i="10"/>
  <c r="R39" i="10"/>
  <c r="P39" i="10"/>
  <c r="O39" i="10"/>
  <c r="N39" i="10"/>
  <c r="L39" i="10"/>
  <c r="J39" i="10"/>
  <c r="R38" i="10"/>
  <c r="P38" i="10"/>
  <c r="O38" i="10"/>
  <c r="N38" i="10"/>
  <c r="L38" i="10"/>
  <c r="J38" i="10"/>
  <c r="R37" i="10"/>
  <c r="P37" i="10"/>
  <c r="O37" i="10"/>
  <c r="N37" i="10"/>
  <c r="L37" i="10"/>
  <c r="J37" i="10"/>
  <c r="R36" i="10"/>
  <c r="P36" i="10"/>
  <c r="O36" i="10"/>
  <c r="N36" i="10"/>
  <c r="L36" i="10"/>
  <c r="J36" i="10"/>
  <c r="R35" i="10"/>
  <c r="P35" i="10"/>
  <c r="O35" i="10"/>
  <c r="N35" i="10"/>
  <c r="L35" i="10"/>
  <c r="J35" i="10"/>
  <c r="R34" i="10"/>
  <c r="P34" i="10"/>
  <c r="O34" i="10"/>
  <c r="N34" i="10"/>
  <c r="L34" i="10"/>
  <c r="J34" i="10"/>
  <c r="R33" i="10"/>
  <c r="P33" i="10"/>
  <c r="O33" i="10"/>
  <c r="N33" i="10"/>
  <c r="L33" i="10"/>
  <c r="J33" i="10"/>
  <c r="R32" i="10"/>
  <c r="P32" i="10"/>
  <c r="O32" i="10"/>
  <c r="N32" i="10"/>
  <c r="L32" i="10"/>
  <c r="J32" i="10"/>
  <c r="R31" i="10"/>
  <c r="P31" i="10"/>
  <c r="O31" i="10"/>
  <c r="N31" i="10"/>
  <c r="L31" i="10"/>
  <c r="J31" i="10"/>
  <c r="R30" i="10"/>
  <c r="P30" i="10"/>
  <c r="O30" i="10"/>
  <c r="N30" i="10"/>
  <c r="L30" i="10"/>
  <c r="J30" i="10"/>
  <c r="R29" i="10"/>
  <c r="P29" i="10"/>
  <c r="O29" i="10"/>
  <c r="N29" i="10"/>
  <c r="L29" i="10"/>
  <c r="J29" i="10"/>
  <c r="R28" i="10"/>
  <c r="P28" i="10"/>
  <c r="O28" i="10"/>
  <c r="N28" i="10"/>
  <c r="L28" i="10"/>
  <c r="J28" i="10"/>
  <c r="R27" i="10"/>
  <c r="P27" i="10"/>
  <c r="O27" i="10"/>
  <c r="N27" i="10"/>
  <c r="L27" i="10"/>
  <c r="J27" i="10"/>
  <c r="R26" i="10"/>
  <c r="P26" i="10"/>
  <c r="O26" i="10"/>
  <c r="N26" i="10"/>
  <c r="L26" i="10"/>
  <c r="J26" i="10"/>
  <c r="P25" i="10"/>
  <c r="O25" i="10"/>
  <c r="N25" i="10"/>
  <c r="L25" i="10"/>
  <c r="J25" i="10"/>
  <c r="P24" i="10"/>
  <c r="O24" i="10"/>
  <c r="N24" i="10"/>
  <c r="L24" i="10"/>
  <c r="J24" i="10"/>
  <c r="P23" i="10"/>
  <c r="O23" i="10"/>
  <c r="N23" i="10"/>
  <c r="L23" i="10"/>
  <c r="J23" i="10"/>
  <c r="P22" i="10"/>
  <c r="O22" i="10"/>
  <c r="N22" i="10"/>
  <c r="L22" i="10"/>
  <c r="J22" i="10"/>
  <c r="R21" i="10"/>
  <c r="P21" i="10"/>
  <c r="O21" i="10"/>
  <c r="N21" i="10"/>
  <c r="L21" i="10"/>
  <c r="J21" i="10"/>
  <c r="R20" i="10"/>
  <c r="P20" i="10"/>
  <c r="O20" i="10"/>
  <c r="N20" i="10"/>
  <c r="L20" i="10"/>
  <c r="J20" i="10"/>
  <c r="R19" i="10"/>
  <c r="P19" i="10"/>
  <c r="O19" i="10"/>
  <c r="N19" i="10"/>
  <c r="L19" i="10"/>
  <c r="J19" i="10"/>
  <c r="R18" i="10"/>
  <c r="P18" i="10"/>
  <c r="O18" i="10"/>
  <c r="N18" i="10"/>
  <c r="L18" i="10"/>
  <c r="J18" i="10"/>
  <c r="R17" i="10"/>
  <c r="P17" i="10"/>
  <c r="O17" i="10"/>
  <c r="N17" i="10"/>
  <c r="L17" i="10"/>
  <c r="J17" i="10"/>
  <c r="R16" i="10"/>
  <c r="P16" i="10"/>
  <c r="O16" i="10"/>
  <c r="N16" i="10"/>
  <c r="L16" i="10"/>
  <c r="J16" i="10"/>
  <c r="R15" i="10"/>
  <c r="P15" i="10"/>
  <c r="O15" i="10"/>
  <c r="N15" i="10"/>
  <c r="L15" i="10"/>
  <c r="J15" i="10"/>
  <c r="R14" i="10"/>
  <c r="P14" i="10"/>
  <c r="O14" i="10"/>
  <c r="N14" i="10"/>
  <c r="L14" i="10"/>
  <c r="J14" i="10"/>
  <c r="R13" i="10"/>
  <c r="P13" i="10"/>
  <c r="O13" i="10"/>
  <c r="N13" i="10"/>
  <c r="L13" i="10"/>
  <c r="J13" i="10"/>
  <c r="R12" i="10"/>
  <c r="P12" i="10"/>
  <c r="O12" i="10"/>
  <c r="N12" i="10"/>
  <c r="L12" i="10"/>
  <c r="J12" i="10"/>
  <c r="R11" i="10"/>
  <c r="P11" i="10"/>
  <c r="O11" i="10"/>
  <c r="N11" i="10"/>
  <c r="L11" i="10"/>
  <c r="J11" i="10"/>
  <c r="R10" i="10"/>
  <c r="P10" i="10"/>
  <c r="O10" i="10"/>
  <c r="N10" i="10"/>
  <c r="L10" i="10"/>
  <c r="J10" i="10"/>
  <c r="R9" i="10"/>
  <c r="P9" i="10"/>
  <c r="O9" i="10"/>
  <c r="N9" i="10"/>
  <c r="L9" i="10"/>
  <c r="J9" i="10"/>
  <c r="R8" i="10"/>
  <c r="P8" i="10"/>
  <c r="O8" i="10"/>
  <c r="N8" i="10"/>
  <c r="L8" i="10"/>
  <c r="J8" i="10"/>
  <c r="R7" i="10"/>
  <c r="P7" i="10"/>
  <c r="O7" i="10"/>
  <c r="N7" i="10"/>
  <c r="L7" i="10"/>
  <c r="K7" i="10"/>
  <c r="Q7" i="10" s="1"/>
  <c r="J7" i="10"/>
  <c r="P6" i="10"/>
  <c r="O6" i="10"/>
  <c r="M6" i="10"/>
  <c r="L6" i="10"/>
  <c r="K6" i="10"/>
  <c r="Q6" i="10" s="1"/>
  <c r="J6" i="10"/>
  <c r="R54" i="9"/>
  <c r="P54" i="9"/>
  <c r="O54" i="9"/>
  <c r="L54" i="9"/>
  <c r="K54" i="9"/>
  <c r="J54" i="9"/>
  <c r="R53" i="9"/>
  <c r="P53" i="9"/>
  <c r="O53" i="9"/>
  <c r="L53" i="9"/>
  <c r="K53" i="9"/>
  <c r="J53" i="9"/>
  <c r="R52" i="9"/>
  <c r="P52" i="9"/>
  <c r="O52" i="9"/>
  <c r="L52" i="9"/>
  <c r="K52" i="9"/>
  <c r="J52" i="9"/>
  <c r="R51" i="9"/>
  <c r="P51" i="9"/>
  <c r="O51" i="9"/>
  <c r="L51" i="9"/>
  <c r="K51" i="9"/>
  <c r="J51" i="9"/>
  <c r="R50" i="9"/>
  <c r="P50" i="9"/>
  <c r="O50" i="9"/>
  <c r="L50" i="9"/>
  <c r="K50" i="9"/>
  <c r="J50" i="9"/>
  <c r="R49" i="9"/>
  <c r="P49" i="9"/>
  <c r="O49" i="9"/>
  <c r="L49" i="9"/>
  <c r="K49" i="9"/>
  <c r="J49" i="9"/>
  <c r="R48" i="9"/>
  <c r="P48" i="9"/>
  <c r="O48" i="9"/>
  <c r="L48" i="9"/>
  <c r="K48" i="9"/>
  <c r="J48" i="9"/>
  <c r="R47" i="9"/>
  <c r="P47" i="9"/>
  <c r="O47" i="9"/>
  <c r="L47" i="9"/>
  <c r="K47" i="9"/>
  <c r="J47" i="9"/>
  <c r="R46" i="9"/>
  <c r="P46" i="9"/>
  <c r="O46" i="9"/>
  <c r="L46" i="9"/>
  <c r="K46" i="9"/>
  <c r="J46" i="9"/>
  <c r="R45" i="9"/>
  <c r="P45" i="9"/>
  <c r="O45" i="9"/>
  <c r="L45" i="9"/>
  <c r="K45" i="9"/>
  <c r="J45" i="9"/>
  <c r="R44" i="9"/>
  <c r="P44" i="9"/>
  <c r="O44" i="9"/>
  <c r="L44" i="9"/>
  <c r="K44" i="9"/>
  <c r="J44" i="9"/>
  <c r="R43" i="9"/>
  <c r="P43" i="9"/>
  <c r="O43" i="9"/>
  <c r="L43" i="9"/>
  <c r="K43" i="9"/>
  <c r="J43" i="9"/>
  <c r="R42" i="9"/>
  <c r="P42" i="9"/>
  <c r="O42" i="9"/>
  <c r="L42" i="9"/>
  <c r="K42" i="9"/>
  <c r="J42" i="9"/>
  <c r="R41" i="9"/>
  <c r="P41" i="9"/>
  <c r="O41" i="9"/>
  <c r="L41" i="9"/>
  <c r="K41" i="9"/>
  <c r="J41" i="9"/>
  <c r="R40" i="9"/>
  <c r="P40" i="9"/>
  <c r="O40" i="9"/>
  <c r="L40" i="9"/>
  <c r="K40" i="9"/>
  <c r="J40" i="9"/>
  <c r="R39" i="9"/>
  <c r="P39" i="9"/>
  <c r="O39" i="9"/>
  <c r="L39" i="9"/>
  <c r="K39" i="9"/>
  <c r="J39" i="9"/>
  <c r="R38" i="9"/>
  <c r="P38" i="9"/>
  <c r="O38" i="9"/>
  <c r="L38" i="9"/>
  <c r="K38" i="9"/>
  <c r="J38" i="9"/>
  <c r="R37" i="9"/>
  <c r="P37" i="9"/>
  <c r="O37" i="9"/>
  <c r="L37" i="9"/>
  <c r="K37" i="9"/>
  <c r="J37" i="9"/>
  <c r="R36" i="9"/>
  <c r="P36" i="9"/>
  <c r="O36" i="9"/>
  <c r="L36" i="9"/>
  <c r="K36" i="9"/>
  <c r="J36" i="9"/>
  <c r="R35" i="9"/>
  <c r="P35" i="9"/>
  <c r="O35" i="9"/>
  <c r="L35" i="9"/>
  <c r="K35" i="9"/>
  <c r="J35" i="9"/>
  <c r="R34" i="9"/>
  <c r="P34" i="9"/>
  <c r="O34" i="9"/>
  <c r="L34" i="9"/>
  <c r="K34" i="9"/>
  <c r="J34" i="9"/>
  <c r="R33" i="9"/>
  <c r="P33" i="9"/>
  <c r="O33" i="9"/>
  <c r="L33" i="9"/>
  <c r="K33" i="9"/>
  <c r="J33" i="9"/>
  <c r="R32" i="9"/>
  <c r="P32" i="9"/>
  <c r="O32" i="9"/>
  <c r="L32" i="9"/>
  <c r="K32" i="9"/>
  <c r="J32" i="9"/>
  <c r="R31" i="9"/>
  <c r="P31" i="9"/>
  <c r="O31" i="9"/>
  <c r="L31" i="9"/>
  <c r="K31" i="9"/>
  <c r="J31" i="9"/>
  <c r="R30" i="9"/>
  <c r="P30" i="9"/>
  <c r="O30" i="9"/>
  <c r="L30" i="9"/>
  <c r="K30" i="9"/>
  <c r="J30" i="9"/>
  <c r="R29" i="9"/>
  <c r="P29" i="9"/>
  <c r="O29" i="9"/>
  <c r="L29" i="9"/>
  <c r="K29" i="9"/>
  <c r="J29" i="9"/>
  <c r="R28" i="9"/>
  <c r="P28" i="9"/>
  <c r="O28" i="9"/>
  <c r="L28" i="9"/>
  <c r="K28" i="9"/>
  <c r="J28" i="9"/>
  <c r="R27" i="9"/>
  <c r="P27" i="9"/>
  <c r="O27" i="9"/>
  <c r="L27" i="9"/>
  <c r="K27" i="9"/>
  <c r="J27" i="9"/>
  <c r="R26" i="9"/>
  <c r="P26" i="9"/>
  <c r="O26" i="9"/>
  <c r="L26" i="9"/>
  <c r="K26" i="9"/>
  <c r="J26" i="9"/>
  <c r="P25" i="9"/>
  <c r="O25" i="9"/>
  <c r="L25" i="9"/>
  <c r="K25" i="9"/>
  <c r="J25" i="9"/>
  <c r="P24" i="9"/>
  <c r="O24" i="9"/>
  <c r="L24" i="9"/>
  <c r="K24" i="9"/>
  <c r="J24" i="9"/>
  <c r="P23" i="9"/>
  <c r="O23" i="9"/>
  <c r="L23" i="9"/>
  <c r="K23" i="9"/>
  <c r="J23" i="9"/>
  <c r="P22" i="9"/>
  <c r="O22" i="9"/>
  <c r="L22" i="9"/>
  <c r="K22" i="9"/>
  <c r="J22" i="9"/>
  <c r="R21" i="9"/>
  <c r="P21" i="9"/>
  <c r="O21" i="9"/>
  <c r="L21" i="9"/>
  <c r="K21" i="9"/>
  <c r="J21" i="9"/>
  <c r="R20" i="9"/>
  <c r="P20" i="9"/>
  <c r="O20" i="9"/>
  <c r="L20" i="9"/>
  <c r="K20" i="9"/>
  <c r="J20" i="9"/>
  <c r="R19" i="9"/>
  <c r="P19" i="9"/>
  <c r="O19" i="9"/>
  <c r="N19" i="9"/>
  <c r="L19" i="9"/>
  <c r="K19" i="9"/>
  <c r="J19" i="9"/>
  <c r="R18" i="9"/>
  <c r="P18" i="9"/>
  <c r="O18" i="9"/>
  <c r="N18" i="9"/>
  <c r="L18" i="9"/>
  <c r="K18" i="9"/>
  <c r="Q18" i="9" s="1"/>
  <c r="J18" i="9"/>
  <c r="R17" i="9"/>
  <c r="P17" i="9"/>
  <c r="O17" i="9"/>
  <c r="N17" i="9"/>
  <c r="L17" i="9"/>
  <c r="K17" i="9"/>
  <c r="Q17" i="9" s="1"/>
  <c r="J17" i="9"/>
  <c r="R16" i="9"/>
  <c r="P16" i="9"/>
  <c r="O16" i="9"/>
  <c r="N16" i="9"/>
  <c r="L16" i="9"/>
  <c r="K16" i="9"/>
  <c r="Q16" i="9" s="1"/>
  <c r="J16" i="9"/>
  <c r="R15" i="9"/>
  <c r="P15" i="9"/>
  <c r="O15" i="9"/>
  <c r="N15" i="9"/>
  <c r="L15" i="9"/>
  <c r="K15" i="9"/>
  <c r="Q15" i="9" s="1"/>
  <c r="J15" i="9"/>
  <c r="R14" i="9"/>
  <c r="P14" i="9"/>
  <c r="O14" i="9"/>
  <c r="N14" i="9"/>
  <c r="L14" i="9"/>
  <c r="K14" i="9"/>
  <c r="Q14" i="9" s="1"/>
  <c r="J14" i="9"/>
  <c r="R13" i="9"/>
  <c r="P13" i="9"/>
  <c r="O13" i="9"/>
  <c r="N13" i="9"/>
  <c r="L13" i="9"/>
  <c r="K13" i="9"/>
  <c r="Q13" i="9" s="1"/>
  <c r="J13" i="9"/>
  <c r="R12" i="9"/>
  <c r="P12" i="9"/>
  <c r="O12" i="9"/>
  <c r="N12" i="9"/>
  <c r="L12" i="9"/>
  <c r="K12" i="9"/>
  <c r="Q12" i="9" s="1"/>
  <c r="J12" i="9"/>
  <c r="R11" i="9"/>
  <c r="P11" i="9"/>
  <c r="O11" i="9"/>
  <c r="N11" i="9"/>
  <c r="L11" i="9"/>
  <c r="K11" i="9"/>
  <c r="Q11" i="9" s="1"/>
  <c r="J11" i="9"/>
  <c r="R10" i="9"/>
  <c r="P10" i="9"/>
  <c r="O10" i="9"/>
  <c r="N10" i="9"/>
  <c r="L10" i="9"/>
  <c r="K10" i="9"/>
  <c r="Q10" i="9" s="1"/>
  <c r="J10" i="9"/>
  <c r="R9" i="9"/>
  <c r="P9" i="9"/>
  <c r="O9" i="9"/>
  <c r="N9" i="9"/>
  <c r="L9" i="9"/>
  <c r="K9" i="9"/>
  <c r="Q9" i="9" s="1"/>
  <c r="J9" i="9"/>
  <c r="R8" i="9"/>
  <c r="P8" i="9"/>
  <c r="O8" i="9"/>
  <c r="N8" i="9"/>
  <c r="L8" i="9"/>
  <c r="K8" i="9"/>
  <c r="Q8" i="9" s="1"/>
  <c r="J8" i="9"/>
  <c r="R7" i="9"/>
  <c r="P7" i="9"/>
  <c r="O7" i="9"/>
  <c r="N7" i="9"/>
  <c r="L7" i="9"/>
  <c r="K7" i="9"/>
  <c r="Q7" i="9" s="1"/>
  <c r="J7" i="9"/>
  <c r="P6" i="9"/>
  <c r="O6" i="9"/>
  <c r="M6" i="9"/>
  <c r="L6" i="9"/>
  <c r="K6" i="9"/>
  <c r="Q6" i="9" s="1"/>
  <c r="J6" i="9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7" i="6"/>
  <c r="V8" i="6"/>
  <c r="V9" i="6"/>
  <c r="V10" i="6"/>
  <c r="V11" i="6"/>
  <c r="V12" i="6"/>
  <c r="Q19" i="9" l="1"/>
  <c r="Q20" i="9"/>
  <c r="Q21" i="9"/>
  <c r="M7" i="9"/>
  <c r="K8" i="10"/>
  <c r="M7" i="10"/>
  <c r="M8" i="10" s="1"/>
  <c r="M9" i="10" s="1"/>
  <c r="M10" i="10" s="1"/>
  <c r="M11" i="10" s="1"/>
  <c r="M12" i="10" s="1"/>
  <c r="M13" i="10" s="1"/>
  <c r="M14" i="10" s="1"/>
  <c r="M15" i="10" s="1"/>
  <c r="M16" i="10" s="1"/>
  <c r="M17" i="10" s="1"/>
  <c r="M18" i="10" s="1"/>
  <c r="M19" i="10" s="1"/>
  <c r="M20" i="10" s="1"/>
  <c r="M21" i="10" s="1"/>
  <c r="M22" i="10" s="1"/>
  <c r="M23" i="10" s="1"/>
  <c r="M24" i="10" s="1"/>
  <c r="M25" i="10" s="1"/>
  <c r="M26" i="10" s="1"/>
  <c r="M27" i="10" s="1"/>
  <c r="M28" i="10" s="1"/>
  <c r="M29" i="10" s="1"/>
  <c r="M30" i="10" s="1"/>
  <c r="M31" i="10" s="1"/>
  <c r="M32" i="10" s="1"/>
  <c r="M33" i="10" s="1"/>
  <c r="M34" i="10" s="1"/>
  <c r="M35" i="10" s="1"/>
  <c r="M36" i="10" s="1"/>
  <c r="M37" i="10" s="1"/>
  <c r="M38" i="10" s="1"/>
  <c r="M39" i="10" s="1"/>
  <c r="M40" i="10" s="1"/>
  <c r="M41" i="10" s="1"/>
  <c r="M42" i="10" s="1"/>
  <c r="M43" i="10" s="1"/>
  <c r="M44" i="10" s="1"/>
  <c r="M45" i="10" s="1"/>
  <c r="M46" i="10" s="1"/>
  <c r="M47" i="10" s="1"/>
  <c r="M48" i="10" s="1"/>
  <c r="M49" i="10" s="1"/>
  <c r="M50" i="10" s="1"/>
  <c r="M51" i="10" s="1"/>
  <c r="M52" i="10" s="1"/>
  <c r="M53" i="10" s="1"/>
  <c r="M54" i="10" s="1"/>
  <c r="Z58" i="9"/>
  <c r="Z58" i="10"/>
  <c r="R25" i="10"/>
  <c r="R24" i="10"/>
  <c r="P58" i="10" s="1"/>
  <c r="R22" i="10"/>
  <c r="R23" i="10"/>
  <c r="K57" i="10"/>
  <c r="O57" i="10"/>
  <c r="S57" i="10"/>
  <c r="W57" i="10"/>
  <c r="K58" i="10"/>
  <c r="O58" i="10"/>
  <c r="S58" i="10"/>
  <c r="W58" i="10"/>
  <c r="L57" i="10"/>
  <c r="P57" i="10"/>
  <c r="T57" i="10"/>
  <c r="X57" i="10"/>
  <c r="L58" i="10"/>
  <c r="T58" i="10"/>
  <c r="X58" i="10"/>
  <c r="M57" i="10"/>
  <c r="Q57" i="10"/>
  <c r="U57" i="10"/>
  <c r="Y57" i="10"/>
  <c r="M58" i="10"/>
  <c r="Q58" i="10"/>
  <c r="U58" i="10"/>
  <c r="Y58" i="10"/>
  <c r="N57" i="10"/>
  <c r="R57" i="10"/>
  <c r="V57" i="10"/>
  <c r="Z57" i="10"/>
  <c r="N58" i="10"/>
  <c r="R58" i="10"/>
  <c r="V58" i="10"/>
  <c r="R25" i="9"/>
  <c r="R22" i="9"/>
  <c r="R23" i="9"/>
  <c r="K57" i="9"/>
  <c r="O57" i="9"/>
  <c r="S57" i="9"/>
  <c r="W57" i="9"/>
  <c r="K58" i="9"/>
  <c r="O58" i="9"/>
  <c r="S58" i="9"/>
  <c r="W58" i="9"/>
  <c r="R24" i="9"/>
  <c r="P58" i="9" s="1"/>
  <c r="L57" i="9"/>
  <c r="P57" i="9"/>
  <c r="T57" i="9"/>
  <c r="X57" i="9"/>
  <c r="L58" i="9"/>
  <c r="T58" i="9"/>
  <c r="X58" i="9"/>
  <c r="M57" i="9"/>
  <c r="Q57" i="9"/>
  <c r="U57" i="9"/>
  <c r="Y57" i="9"/>
  <c r="M58" i="9"/>
  <c r="Q58" i="9"/>
  <c r="U58" i="9"/>
  <c r="Y58" i="9"/>
  <c r="N57" i="9"/>
  <c r="R57" i="9"/>
  <c r="V57" i="9"/>
  <c r="Z57" i="9"/>
  <c r="N58" i="9"/>
  <c r="R58" i="9"/>
  <c r="V58" i="9"/>
  <c r="M8" i="9" l="1"/>
  <c r="S8" i="9" s="1"/>
  <c r="S7" i="9"/>
  <c r="Q22" i="9"/>
  <c r="Q23" i="9" s="1"/>
  <c r="Q24" i="9" s="1"/>
  <c r="Q25" i="9" s="1"/>
  <c r="Q26" i="9" s="1"/>
  <c r="Q27" i="9" s="1"/>
  <c r="Q28" i="9" s="1"/>
  <c r="Q29" i="9" s="1"/>
  <c r="Q30" i="9" s="1"/>
  <c r="Q31" i="9" s="1"/>
  <c r="Q32" i="9" s="1"/>
  <c r="Q33" i="9" s="1"/>
  <c r="Q34" i="9" s="1"/>
  <c r="Q35" i="9" s="1"/>
  <c r="Q36" i="9" s="1"/>
  <c r="Q37" i="9" s="1"/>
  <c r="Q38" i="9" s="1"/>
  <c r="Q39" i="9" s="1"/>
  <c r="Q40" i="9" s="1"/>
  <c r="Q41" i="9" s="1"/>
  <c r="Q42" i="9" s="1"/>
  <c r="Q43" i="9" s="1"/>
  <c r="Q44" i="9" s="1"/>
  <c r="Q45" i="9" s="1"/>
  <c r="Q46" i="9" s="1"/>
  <c r="Q47" i="9" s="1"/>
  <c r="Q48" i="9" s="1"/>
  <c r="Q49" i="9" s="1"/>
  <c r="Q50" i="9" s="1"/>
  <c r="Q51" i="9" s="1"/>
  <c r="Q52" i="9" s="1"/>
  <c r="Q53" i="9" s="1"/>
  <c r="Q54" i="9" s="1"/>
  <c r="Q8" i="10"/>
  <c r="K9" i="10"/>
  <c r="M9" i="9" l="1"/>
  <c r="S9" i="9"/>
  <c r="Q9" i="10"/>
  <c r="K10" i="10"/>
  <c r="M10" i="9" l="1"/>
  <c r="S10" i="9" s="1"/>
  <c r="Q10" i="10"/>
  <c r="K11" i="10"/>
  <c r="M11" i="9" l="1"/>
  <c r="S11" i="9" s="1"/>
  <c r="Q11" i="10"/>
  <c r="K12" i="10"/>
  <c r="M12" i="9" l="1"/>
  <c r="S12" i="9" s="1"/>
  <c r="Q12" i="10"/>
  <c r="K13" i="10"/>
  <c r="M13" i="9" l="1"/>
  <c r="Q13" i="10"/>
  <c r="K14" i="10"/>
  <c r="M14" i="9" l="1"/>
  <c r="S13" i="9"/>
  <c r="Q14" i="10"/>
  <c r="K15" i="10"/>
  <c r="M15" i="9" l="1"/>
  <c r="S15" i="9" s="1"/>
  <c r="S14" i="9"/>
  <c r="Q15" i="10"/>
  <c r="K16" i="10"/>
  <c r="M16" i="9" l="1"/>
  <c r="S16" i="9" s="1"/>
  <c r="Q16" i="10"/>
  <c r="K17" i="10"/>
  <c r="M17" i="9" l="1"/>
  <c r="S17" i="9" s="1"/>
  <c r="Q17" i="10"/>
  <c r="K18" i="10"/>
  <c r="M18" i="9" l="1"/>
  <c r="S18" i="9" s="1"/>
  <c r="Q18" i="10"/>
  <c r="K19" i="10"/>
  <c r="M19" i="9" l="1"/>
  <c r="S19" i="9" s="1"/>
  <c r="Q19" i="10"/>
  <c r="K20" i="10"/>
  <c r="M20" i="9" l="1"/>
  <c r="Q20" i="10"/>
  <c r="K21" i="10"/>
  <c r="M21" i="9" l="1"/>
  <c r="S21" i="9" s="1"/>
  <c r="S20" i="9"/>
  <c r="Q21" i="10"/>
  <c r="Q22" i="10" s="1"/>
  <c r="Q23" i="10" s="1"/>
  <c r="Q24" i="10" s="1"/>
  <c r="Q25" i="10" s="1"/>
  <c r="Q26" i="10" s="1"/>
  <c r="Q27" i="10" s="1"/>
  <c r="Q28" i="10" s="1"/>
  <c r="Q29" i="10" s="1"/>
  <c r="Q30" i="10" s="1"/>
  <c r="Q31" i="10" s="1"/>
  <c r="Q32" i="10" s="1"/>
  <c r="Q33" i="10" s="1"/>
  <c r="Q34" i="10" s="1"/>
  <c r="Q35" i="10" s="1"/>
  <c r="Q36" i="10" s="1"/>
  <c r="Q37" i="10" s="1"/>
  <c r="Q38" i="10" s="1"/>
  <c r="Q39" i="10" s="1"/>
  <c r="Q40" i="10" s="1"/>
  <c r="Q41" i="10" s="1"/>
  <c r="Q42" i="10" s="1"/>
  <c r="Q43" i="10" s="1"/>
  <c r="Q44" i="10" s="1"/>
  <c r="Q45" i="10" s="1"/>
  <c r="Q46" i="10" s="1"/>
  <c r="Q47" i="10" s="1"/>
  <c r="Q48" i="10" s="1"/>
  <c r="Q49" i="10" s="1"/>
  <c r="Q50" i="10" s="1"/>
  <c r="Q51" i="10" s="1"/>
  <c r="Q52" i="10" s="1"/>
  <c r="Q53" i="10" s="1"/>
  <c r="Q54" i="10" s="1"/>
  <c r="K22" i="10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M22" i="9" l="1"/>
  <c r="S22" i="9" s="1"/>
  <c r="N6" i="6"/>
  <c r="O6" i="6"/>
  <c r="U6" i="6" s="1"/>
  <c r="P6" i="6"/>
  <c r="Q6" i="6"/>
  <c r="N7" i="6"/>
  <c r="O7" i="6"/>
  <c r="U7" i="6" s="1"/>
  <c r="P7" i="6"/>
  <c r="N8" i="6"/>
  <c r="O8" i="6"/>
  <c r="U8" i="6" s="1"/>
  <c r="P8" i="6"/>
  <c r="N9" i="6"/>
  <c r="O9" i="6"/>
  <c r="U9" i="6" s="1"/>
  <c r="P9" i="6"/>
  <c r="N10" i="6"/>
  <c r="O10" i="6"/>
  <c r="U10" i="6" s="1"/>
  <c r="P10" i="6"/>
  <c r="N11" i="6"/>
  <c r="O11" i="6"/>
  <c r="U11" i="6" s="1"/>
  <c r="P11" i="6"/>
  <c r="N12" i="6"/>
  <c r="O12" i="6"/>
  <c r="U12" i="6" s="1"/>
  <c r="P12" i="6"/>
  <c r="N13" i="6"/>
  <c r="O13" i="6"/>
  <c r="U13" i="6" s="1"/>
  <c r="P13" i="6"/>
  <c r="N14" i="6"/>
  <c r="O14" i="6"/>
  <c r="U14" i="6" s="1"/>
  <c r="P14" i="6"/>
  <c r="N15" i="6"/>
  <c r="O15" i="6"/>
  <c r="U15" i="6" s="1"/>
  <c r="P15" i="6"/>
  <c r="N16" i="6"/>
  <c r="O16" i="6"/>
  <c r="U16" i="6" s="1"/>
  <c r="P16" i="6"/>
  <c r="N17" i="6"/>
  <c r="O17" i="6"/>
  <c r="U17" i="6" s="1"/>
  <c r="P17" i="6"/>
  <c r="N18" i="6"/>
  <c r="O18" i="6"/>
  <c r="U18" i="6" s="1"/>
  <c r="P18" i="6"/>
  <c r="N19" i="6"/>
  <c r="O19" i="6"/>
  <c r="U19" i="6" s="1"/>
  <c r="P19" i="6"/>
  <c r="N20" i="6"/>
  <c r="O20" i="6"/>
  <c r="U20" i="6" s="1"/>
  <c r="P20" i="6"/>
  <c r="N21" i="6"/>
  <c r="O21" i="6"/>
  <c r="U21" i="6" s="1"/>
  <c r="P21" i="6"/>
  <c r="N22" i="6"/>
  <c r="O22" i="6"/>
  <c r="P22" i="6"/>
  <c r="N23" i="6"/>
  <c r="O23" i="6"/>
  <c r="P23" i="6"/>
  <c r="N24" i="6"/>
  <c r="O24" i="6"/>
  <c r="P24" i="6"/>
  <c r="N25" i="6"/>
  <c r="O25" i="6"/>
  <c r="P25" i="6"/>
  <c r="N26" i="6"/>
  <c r="O26" i="6"/>
  <c r="P26" i="6"/>
  <c r="N27" i="6"/>
  <c r="O27" i="6"/>
  <c r="P27" i="6"/>
  <c r="N28" i="6"/>
  <c r="O28" i="6"/>
  <c r="P28" i="6"/>
  <c r="N29" i="6"/>
  <c r="O29" i="6"/>
  <c r="P29" i="6"/>
  <c r="N30" i="6"/>
  <c r="O30" i="6"/>
  <c r="P30" i="6"/>
  <c r="N31" i="6"/>
  <c r="O31" i="6"/>
  <c r="P31" i="6"/>
  <c r="N32" i="6"/>
  <c r="O32" i="6"/>
  <c r="P32" i="6"/>
  <c r="N33" i="6"/>
  <c r="O33" i="6"/>
  <c r="P33" i="6"/>
  <c r="N34" i="6"/>
  <c r="O34" i="6"/>
  <c r="P34" i="6"/>
  <c r="N35" i="6"/>
  <c r="O35" i="6"/>
  <c r="P35" i="6"/>
  <c r="N36" i="6"/>
  <c r="O36" i="6"/>
  <c r="P36" i="6"/>
  <c r="N37" i="6"/>
  <c r="O37" i="6"/>
  <c r="P37" i="6"/>
  <c r="N38" i="6"/>
  <c r="O38" i="6"/>
  <c r="P38" i="6"/>
  <c r="N39" i="6"/>
  <c r="O39" i="6"/>
  <c r="P39" i="6"/>
  <c r="N40" i="6"/>
  <c r="O40" i="6"/>
  <c r="P40" i="6"/>
  <c r="N41" i="6"/>
  <c r="O41" i="6"/>
  <c r="P41" i="6"/>
  <c r="N42" i="6"/>
  <c r="O42" i="6"/>
  <c r="P42" i="6"/>
  <c r="M23" i="9" l="1"/>
  <c r="S23" i="9"/>
  <c r="O58" i="6"/>
  <c r="AA58" i="6"/>
  <c r="W58" i="6"/>
  <c r="P58" i="6"/>
  <c r="AD58" i="6"/>
  <c r="Z58" i="6"/>
  <c r="V58" i="6"/>
  <c r="AC58" i="6"/>
  <c r="Y58" i="6"/>
  <c r="U58" i="6"/>
  <c r="AB58" i="6"/>
  <c r="M24" i="9" l="1"/>
  <c r="M25" i="9" s="1"/>
  <c r="S24" i="9"/>
  <c r="S58" i="6"/>
  <c r="R58" i="6"/>
  <c r="Q58" i="6"/>
  <c r="S7" i="6"/>
  <c r="S8" i="6" s="1"/>
  <c r="S9" i="6" s="1"/>
  <c r="S10" i="6" s="1"/>
  <c r="S11" i="6" s="1"/>
  <c r="S12" i="6" s="1"/>
  <c r="T6" i="6"/>
  <c r="T7" i="6" s="1"/>
  <c r="S6" i="6"/>
  <c r="S25" i="9" l="1"/>
  <c r="M26" i="9"/>
  <c r="S26" i="9" s="1"/>
  <c r="T8" i="6"/>
  <c r="T9" i="6" s="1"/>
  <c r="S13" i="6"/>
  <c r="S14" i="6" s="1"/>
  <c r="S15" i="6" s="1"/>
  <c r="S16" i="6" s="1"/>
  <c r="S17" i="6" s="1"/>
  <c r="S18" i="6" s="1"/>
  <c r="S19" i="6" s="1"/>
  <c r="S20" i="6" s="1"/>
  <c r="S21" i="6" s="1"/>
  <c r="S22" i="6" s="1"/>
  <c r="M27" i="9" l="1"/>
  <c r="S27" i="9" s="1"/>
  <c r="T10" i="6"/>
  <c r="S23" i="6"/>
  <c r="R42" i="6"/>
  <c r="R41" i="6"/>
  <c r="R40" i="6"/>
  <c r="R39" i="6"/>
  <c r="R38" i="6"/>
  <c r="R37" i="6"/>
  <c r="R36" i="6"/>
  <c r="R35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57" i="6" s="1"/>
  <c r="R17" i="6"/>
  <c r="R16" i="6"/>
  <c r="R15" i="6"/>
  <c r="Q57" i="6" s="1"/>
  <c r="R14" i="6"/>
  <c r="R13" i="6"/>
  <c r="R7" i="6"/>
  <c r="Q7" i="6" s="1"/>
  <c r="R12" i="6"/>
  <c r="P57" i="6" s="1"/>
  <c r="R11" i="6"/>
  <c r="R10" i="6"/>
  <c r="R9" i="6"/>
  <c r="O57" i="6" s="1"/>
  <c r="R8" i="6"/>
  <c r="M28" i="9" l="1"/>
  <c r="S28" i="9"/>
  <c r="T11" i="6"/>
  <c r="V57" i="6"/>
  <c r="Z57" i="6"/>
  <c r="AD57" i="6"/>
  <c r="U57" i="6"/>
  <c r="Y57" i="6"/>
  <c r="AC57" i="6"/>
  <c r="T57" i="6"/>
  <c r="S57" i="6"/>
  <c r="W57" i="6"/>
  <c r="AA57" i="6"/>
  <c r="X57" i="6"/>
  <c r="AB57" i="6"/>
  <c r="S24" i="6"/>
  <c r="Q8" i="6"/>
  <c r="Q9" i="6" s="1"/>
  <c r="Q10" i="6" s="1"/>
  <c r="Q11" i="6" s="1"/>
  <c r="Q12" i="6" s="1"/>
  <c r="Q13" i="6" s="1"/>
  <c r="Q14" i="6" s="1"/>
  <c r="Q15" i="6" s="1"/>
  <c r="Q16" i="6" s="1"/>
  <c r="Q17" i="6" s="1"/>
  <c r="Q18" i="6" s="1"/>
  <c r="Q19" i="6" s="1"/>
  <c r="Q20" i="6" s="1"/>
  <c r="Q21" i="6" s="1"/>
  <c r="Q22" i="6" s="1"/>
  <c r="Q23" i="6" s="1"/>
  <c r="Q24" i="6" s="1"/>
  <c r="Q25" i="6" s="1"/>
  <c r="Q26" i="6" s="1"/>
  <c r="Q27" i="6" s="1"/>
  <c r="Q28" i="6" s="1"/>
  <c r="Q29" i="6" s="1"/>
  <c r="Q30" i="6" s="1"/>
  <c r="Q31" i="6" s="1"/>
  <c r="Q32" i="6" s="1"/>
  <c r="Q33" i="6" s="1"/>
  <c r="Q34" i="6" s="1"/>
  <c r="Q35" i="6" s="1"/>
  <c r="Q36" i="6" s="1"/>
  <c r="Q37" i="6" s="1"/>
  <c r="Q38" i="6" s="1"/>
  <c r="Q39" i="6" s="1"/>
  <c r="Q40" i="6" s="1"/>
  <c r="Q41" i="6" s="1"/>
  <c r="Q42" i="6" s="1"/>
  <c r="M29" i="9" l="1"/>
  <c r="S29" i="9"/>
  <c r="T12" i="6"/>
  <c r="S25" i="6"/>
  <c r="M30" i="9" l="1"/>
  <c r="S30" i="9"/>
  <c r="T13" i="6"/>
  <c r="T58" i="6"/>
  <c r="S26" i="6"/>
  <c r="S27" i="6" s="1"/>
  <c r="S28" i="6" s="1"/>
  <c r="S29" i="6" s="1"/>
  <c r="S30" i="6" s="1"/>
  <c r="S31" i="6" s="1"/>
  <c r="S32" i="6" s="1"/>
  <c r="S33" i="6" s="1"/>
  <c r="S34" i="6" s="1"/>
  <c r="S35" i="6" s="1"/>
  <c r="S36" i="6" s="1"/>
  <c r="S37" i="6" s="1"/>
  <c r="S38" i="6" s="1"/>
  <c r="S39" i="6" s="1"/>
  <c r="S40" i="6" s="1"/>
  <c r="S41" i="6" s="1"/>
  <c r="S42" i="6" s="1"/>
  <c r="M31" i="9" l="1"/>
  <c r="S31" i="9"/>
  <c r="T14" i="6"/>
  <c r="M32" i="9" l="1"/>
  <c r="S32" i="9"/>
  <c r="T15" i="6"/>
  <c r="M33" i="9" l="1"/>
  <c r="S33" i="9"/>
  <c r="T16" i="6"/>
  <c r="M34" i="9" l="1"/>
  <c r="S34" i="9"/>
  <c r="T17" i="6"/>
  <c r="M35" i="9" l="1"/>
  <c r="S35" i="9"/>
  <c r="T18" i="6"/>
  <c r="W18" i="6" s="1"/>
  <c r="M36" i="9" l="1"/>
  <c r="S36" i="9"/>
  <c r="T19" i="6"/>
  <c r="W19" i="6" s="1"/>
  <c r="M37" i="9" l="1"/>
  <c r="S37" i="9"/>
  <c r="T20" i="6"/>
  <c r="W20" i="6" s="1"/>
  <c r="M38" i="9" l="1"/>
  <c r="T21" i="6"/>
  <c r="W21" i="6" s="1"/>
  <c r="M39" i="9" l="1"/>
  <c r="S38" i="9"/>
  <c r="V23" i="6"/>
  <c r="V22" i="6"/>
  <c r="U22" i="6" s="1"/>
  <c r="V24" i="6"/>
  <c r="X58" i="6" s="1"/>
  <c r="V25" i="6"/>
  <c r="T22" i="6" l="1"/>
  <c r="W22" i="6" s="1"/>
  <c r="U23" i="6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M40" i="9"/>
  <c r="S39" i="9"/>
  <c r="T23" i="6" l="1"/>
  <c r="W23" i="6" s="1"/>
  <c r="M41" i="9"/>
  <c r="S40" i="9"/>
  <c r="T24" i="6" l="1"/>
  <c r="M42" i="9"/>
  <c r="S41" i="9"/>
  <c r="W24" i="6" l="1"/>
  <c r="T25" i="6"/>
  <c r="M43" i="9"/>
  <c r="S43" i="9"/>
  <c r="S42" i="9"/>
  <c r="W25" i="6" l="1"/>
  <c r="T26" i="6"/>
  <c r="M44" i="9"/>
  <c r="S44" i="9" s="1"/>
  <c r="W26" i="6" l="1"/>
  <c r="T27" i="6"/>
  <c r="M45" i="9"/>
  <c r="S45" i="9"/>
  <c r="W27" i="6" l="1"/>
  <c r="T28" i="6"/>
  <c r="M46" i="9"/>
  <c r="S46" i="9"/>
  <c r="W28" i="6" l="1"/>
  <c r="T29" i="6"/>
  <c r="M47" i="9"/>
  <c r="S47" i="9"/>
  <c r="W29" i="6" l="1"/>
  <c r="T30" i="6"/>
  <c r="M48" i="9"/>
  <c r="S48" i="9"/>
  <c r="W30" i="6" l="1"/>
  <c r="T31" i="6"/>
  <c r="M49" i="9"/>
  <c r="S49" i="9"/>
  <c r="W31" i="6" l="1"/>
  <c r="T32" i="6"/>
  <c r="M50" i="9"/>
  <c r="S50" i="9"/>
  <c r="W32" i="6" l="1"/>
  <c r="T33" i="6"/>
  <c r="M51" i="9"/>
  <c r="S51" i="9"/>
  <c r="W33" i="6" l="1"/>
  <c r="T34" i="6"/>
  <c r="M52" i="9"/>
  <c r="S52" i="9"/>
  <c r="W34" i="6" l="1"/>
  <c r="T35" i="6"/>
  <c r="M53" i="9"/>
  <c r="M54" i="9" s="1"/>
  <c r="S54" i="9" s="1"/>
  <c r="S53" i="9"/>
  <c r="W35" i="6" l="1"/>
  <c r="T36" i="6"/>
  <c r="W36" i="6" l="1"/>
  <c r="T37" i="6"/>
  <c r="W37" i="6" l="1"/>
  <c r="T38" i="6"/>
  <c r="W38" i="6" l="1"/>
  <c r="T39" i="6"/>
  <c r="W39" i="6" l="1"/>
  <c r="T40" i="6"/>
  <c r="W40" i="6" l="1"/>
  <c r="T41" i="6"/>
  <c r="W41" i="6" l="1"/>
  <c r="T42" i="6"/>
  <c r="W42" i="6" s="1"/>
</calcChain>
</file>

<file path=xl/sharedStrings.xml><?xml version="1.0" encoding="utf-8"?>
<sst xmlns="http://schemas.openxmlformats.org/spreadsheetml/2006/main" count="2454" uniqueCount="61">
  <si>
    <t>MES</t>
  </si>
  <si>
    <t>PORTAFOLIO</t>
  </si>
  <si>
    <t>ESCENARIO</t>
  </si>
  <si>
    <t>HIPOTECARIO</t>
  </si>
  <si>
    <t>BASE</t>
  </si>
  <si>
    <t>MEAN</t>
  </si>
  <si>
    <t>ADVERSO</t>
  </si>
  <si>
    <t>LOW</t>
  </si>
  <si>
    <t>COMERCIAL</t>
  </si>
  <si>
    <t>CONSUMO</t>
  </si>
  <si>
    <t>Etiquetas de fila</t>
  </si>
  <si>
    <t>Paraestatales</t>
  </si>
  <si>
    <t>Corporativos - Moneda nacional</t>
  </si>
  <si>
    <t>Corporativos - Moneda extranjera</t>
  </si>
  <si>
    <t>Fideicomisos</t>
  </si>
  <si>
    <t>MiPyMes</t>
  </si>
  <si>
    <t>Gobierno Federal</t>
  </si>
  <si>
    <t>Estados y Municipios - Garantizados</t>
  </si>
  <si>
    <t>Estados y Municipios - No garantizados</t>
  </si>
  <si>
    <t>Entidades Financieras</t>
  </si>
  <si>
    <t>Consumo-Revolvente</t>
  </si>
  <si>
    <t>Consumo-No revolvente - Nomina</t>
  </si>
  <si>
    <t>Consumo-No revolvente - Personales</t>
  </si>
  <si>
    <t>Consumo-No revolvente - Autos y ABCD</t>
  </si>
  <si>
    <t>Consumo-No revolvente - Otros</t>
  </si>
  <si>
    <t>Hipotecaria a la Vivienda - Media, Residencial e Interés Social</t>
  </si>
  <si>
    <t>Hipotecaria a la Vivienda - Infonavit e ISSSTE</t>
  </si>
  <si>
    <t>Hipotecaria a la Vivienda - Créditos de Remodelación</t>
  </si>
  <si>
    <t>Portafolio</t>
  </si>
  <si>
    <t>PI_Pond</t>
  </si>
  <si>
    <t>Portafolio_desglozado</t>
  </si>
  <si>
    <t>Comercial</t>
  </si>
  <si>
    <t>Consumo</t>
  </si>
  <si>
    <t>Hipotecario</t>
  </si>
  <si>
    <t>SP_Vig_Pond</t>
  </si>
  <si>
    <t>SP_Ven_Pond</t>
  </si>
  <si>
    <t>HIGH</t>
  </si>
  <si>
    <t>Suma de MEAN</t>
  </si>
  <si>
    <t>Suma de HIGH</t>
  </si>
  <si>
    <t>Etiquetas de columna</t>
  </si>
  <si>
    <t>Base Mean</t>
  </si>
  <si>
    <t>Base High</t>
  </si>
  <si>
    <t>AdversoMean</t>
  </si>
  <si>
    <t>Adverso High</t>
  </si>
  <si>
    <t>BasePromedio</t>
  </si>
  <si>
    <t>Factor Stress</t>
  </si>
  <si>
    <t>Seleccionado</t>
  </si>
  <si>
    <t>Delta Sel</t>
  </si>
  <si>
    <t>Base</t>
  </si>
  <si>
    <t>Adverso</t>
  </si>
  <si>
    <t>AdversoPromedio</t>
  </si>
  <si>
    <t>BASE_ANT</t>
  </si>
  <si>
    <t>ADVERSO_ANT</t>
  </si>
  <si>
    <t>Entrega 2017</t>
  </si>
  <si>
    <t>Entrega 2018</t>
  </si>
  <si>
    <t>Ene18-dic20</t>
  </si>
  <si>
    <t>base</t>
  </si>
  <si>
    <t>adv</t>
  </si>
  <si>
    <t>PM3</t>
  </si>
  <si>
    <t>BASE_SUP_OCT18</t>
  </si>
  <si>
    <t>ADV_SUP_OCT18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</si>
</sst>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0.0%"/>
    <numFmt numFmtId="165" formatCode="[$-409]dd/mm/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0" borderId="0"/>
    <xf numFmtId="43" fontId="1" fillId="0" borderId="0" applyFon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9" fontId="0" fillId="0" borderId="0" xfId="1" applyFont="1"/>
    <xf numFmtId="164" fontId="0" fillId="0" borderId="0" xfId="1" applyNumberFormat="1" applyFont="1"/>
    <xf numFmtId="2" fontId="0" fillId="0" borderId="0" xfId="0" applyNumberFormat="1"/>
    <xf numFmtId="10" fontId="0" fillId="0" borderId="0" xfId="1" applyNumberFormat="1" applyFont="1"/>
    <xf numFmtId="17" fontId="2" fillId="2" borderId="0" xfId="0" applyNumberFormat="1" applyFont="1" applyFill="1" applyAlignment="1">
      <alignment horizontal="center"/>
    </xf>
    <xf numFmtId="14" fontId="3" fillId="0" borderId="0" xfId="0" applyNumberFormat="1" applyFont="1"/>
    <xf numFmtId="0" fontId="3" fillId="0" borderId="0" xfId="0" applyFont="1"/>
    <xf numFmtId="14" fontId="0" fillId="3" borderId="0" xfId="0" applyNumberFormat="1" applyFill="1" applyAlignment="1">
      <alignment horizontal="left"/>
    </xf>
    <xf numFmtId="2" fontId="0" fillId="3" borderId="0" xfId="0" applyNumberFormat="1" applyFill="1"/>
    <xf numFmtId="43" fontId="0" fillId="0" borderId="0" xfId="3" applyFont="1" applyAlignment="1">
      <alignment horizontal="left"/>
    </xf>
    <xf numFmtId="164" fontId="0" fillId="4" borderId="0" xfId="1" applyNumberFormat="1" applyFont="1" applyFill="1"/>
    <xf numFmtId="2" fontId="0" fillId="5" borderId="0" xfId="0" applyNumberFormat="1" applyFill="1"/>
    <xf numFmtId="2" fontId="0" fillId="6" borderId="0" xfId="0" applyNumberFormat="1" applyFill="1"/>
    <xf numFmtId="164" fontId="0" fillId="5" borderId="0" xfId="1" applyNumberFormat="1" applyFont="1" applyFill="1"/>
    <xf numFmtId="9" fontId="0" fillId="5" borderId="0" xfId="0" applyNumberFormat="1" applyFill="1"/>
    <xf numFmtId="9" fontId="0" fillId="6" borderId="0" xfId="1" applyFont="1" applyFill="1"/>
    <xf numFmtId="164" fontId="0" fillId="6" borderId="0" xfId="1" applyNumberFormat="1" applyFont="1" applyFill="1"/>
    <xf numFmtId="2" fontId="0" fillId="7" borderId="0" xfId="0" applyNumberFormat="1" applyFill="1"/>
    <xf numFmtId="165" fontId="0" fillId="0" borderId="0" xfId="0" applyNumberFormat="1"/>
    <xf numFmtId="165" fontId="0" fillId="4" borderId="0" xfId="0" applyNumberFormat="1" applyFill="1"/>
  </cellXfs>
  <cellStyles count="4">
    <cellStyle name="Millares" xfId="3" builtinId="3"/>
    <cellStyle name="Normal" xfId="0" builtinId="0"/>
    <cellStyle name="Normal 2 2 2" xfId="2"/>
    <cellStyle name="Porcentaje" xfId="1" builtinId="5"/>
  </cellStyles>
  <dxfs count="26">
    <dxf>
      <numFmt numFmtId="2" formatCode="0.00"/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numFmt numFmtId="2" formatCode="0.0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Escenario Base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EstimacionesCom!$O$5</c:f>
              <c:strCache>
                <c:ptCount val="1"/>
                <c:pt idx="0">
                  <c:v>Base Mean</c:v>
                </c:pt>
              </c:strCache>
            </c:strRef>
          </c:tx>
          <c:marker>
            <c:symbol val="none"/>
          </c:marker>
          <c:cat>
            <c:numRef>
              <c:f>EstimacionesCom!$N$6:$N$54</c:f>
              <c:numCache>
                <c:formatCode>m/d/yyyy</c:formatCode>
                <c:ptCount val="49"/>
                <c:pt idx="0">
                  <c:v>43070</c:v>
                </c:pt>
                <c:pt idx="1">
                  <c:v>43101</c:v>
                </c:pt>
                <c:pt idx="2">
                  <c:v>43132</c:v>
                </c:pt>
                <c:pt idx="3">
                  <c:v>43160</c:v>
                </c:pt>
                <c:pt idx="4">
                  <c:v>43191</c:v>
                </c:pt>
                <c:pt idx="5">
                  <c:v>43221</c:v>
                </c:pt>
                <c:pt idx="6">
                  <c:v>43252</c:v>
                </c:pt>
                <c:pt idx="7">
                  <c:v>43282</c:v>
                </c:pt>
                <c:pt idx="8">
                  <c:v>43313</c:v>
                </c:pt>
                <c:pt idx="9">
                  <c:v>43344</c:v>
                </c:pt>
                <c:pt idx="10">
                  <c:v>43374</c:v>
                </c:pt>
                <c:pt idx="11">
                  <c:v>43405</c:v>
                </c:pt>
                <c:pt idx="12">
                  <c:v>43435</c:v>
                </c:pt>
                <c:pt idx="13">
                  <c:v>43466</c:v>
                </c:pt>
                <c:pt idx="14">
                  <c:v>43497</c:v>
                </c:pt>
                <c:pt idx="15">
                  <c:v>43525</c:v>
                </c:pt>
                <c:pt idx="16">
                  <c:v>43556</c:v>
                </c:pt>
                <c:pt idx="17">
                  <c:v>43586</c:v>
                </c:pt>
                <c:pt idx="18">
                  <c:v>43617</c:v>
                </c:pt>
                <c:pt idx="19">
                  <c:v>43647</c:v>
                </c:pt>
                <c:pt idx="20">
                  <c:v>43678</c:v>
                </c:pt>
                <c:pt idx="21">
                  <c:v>43709</c:v>
                </c:pt>
                <c:pt idx="22">
                  <c:v>43739</c:v>
                </c:pt>
                <c:pt idx="23">
                  <c:v>43770</c:v>
                </c:pt>
                <c:pt idx="24">
                  <c:v>43800</c:v>
                </c:pt>
                <c:pt idx="25">
                  <c:v>43831</c:v>
                </c:pt>
                <c:pt idx="26">
                  <c:v>43862</c:v>
                </c:pt>
                <c:pt idx="27">
                  <c:v>43891</c:v>
                </c:pt>
                <c:pt idx="28">
                  <c:v>43922</c:v>
                </c:pt>
                <c:pt idx="29">
                  <c:v>43952</c:v>
                </c:pt>
                <c:pt idx="30">
                  <c:v>43983</c:v>
                </c:pt>
                <c:pt idx="31">
                  <c:v>44013</c:v>
                </c:pt>
                <c:pt idx="32">
                  <c:v>44044</c:v>
                </c:pt>
                <c:pt idx="33">
                  <c:v>44075</c:v>
                </c:pt>
                <c:pt idx="34">
                  <c:v>44105</c:v>
                </c:pt>
                <c:pt idx="35">
                  <c:v>44136</c:v>
                </c:pt>
                <c:pt idx="36">
                  <c:v>44166</c:v>
                </c:pt>
              </c:numCache>
            </c:numRef>
          </c:cat>
          <c:val>
            <c:numRef>
              <c:f>EstimacionesCom!$O$6:$O$54</c:f>
              <c:numCache>
                <c:formatCode>0.00</c:formatCode>
                <c:ptCount val="49"/>
                <c:pt idx="0">
                  <c:v>2.0664790334977199</c:v>
                </c:pt>
                <c:pt idx="1">
                  <c:v>2.0674411737941898</c:v>
                </c:pt>
                <c:pt idx="2">
                  <c:v>2.0833297796897101</c:v>
                </c:pt>
                <c:pt idx="3">
                  <c:v>2.0487216891958999</c:v>
                </c:pt>
                <c:pt idx="4">
                  <c:v>2.0342697291345901</c:v>
                </c:pt>
                <c:pt idx="5">
                  <c:v>2.0219912046990598</c:v>
                </c:pt>
                <c:pt idx="6">
                  <c:v>2.0194289406425199</c:v>
                </c:pt>
                <c:pt idx="7">
                  <c:v>2.0570011252786999</c:v>
                </c:pt>
                <c:pt idx="8">
                  <c:v>2.0913517860873099</c:v>
                </c:pt>
                <c:pt idx="9">
                  <c:v>2.12742277417783</c:v>
                </c:pt>
                <c:pt idx="10">
                  <c:v>2.1195887444184001</c:v>
                </c:pt>
                <c:pt idx="11">
                  <c:v>2.0993457269039402</c:v>
                </c:pt>
                <c:pt idx="12">
                  <c:v>2.0138196301201501</c:v>
                </c:pt>
                <c:pt idx="13">
                  <c:v>2.0396202522616198</c:v>
                </c:pt>
                <c:pt idx="14">
                  <c:v>2.0262308712116202</c:v>
                </c:pt>
                <c:pt idx="15">
                  <c:v>1.9566527299221499</c:v>
                </c:pt>
                <c:pt idx="16">
                  <c:v>1.9454545671952299</c:v>
                </c:pt>
                <c:pt idx="17">
                  <c:v>1.93472160564234</c:v>
                </c:pt>
                <c:pt idx="18">
                  <c:v>1.9333122990481499</c:v>
                </c:pt>
                <c:pt idx="19">
                  <c:v>1.9677411717933899</c:v>
                </c:pt>
                <c:pt idx="20">
                  <c:v>1.99898349019241</c:v>
                </c:pt>
                <c:pt idx="21">
                  <c:v>2.0318170109417801</c:v>
                </c:pt>
                <c:pt idx="22">
                  <c:v>2.02380104431281</c:v>
                </c:pt>
                <c:pt idx="23">
                  <c:v>2.00392646274635</c:v>
                </c:pt>
                <c:pt idx="24">
                  <c:v>1.9217806130536901</c:v>
                </c:pt>
                <c:pt idx="25">
                  <c:v>1.94693864361839</c:v>
                </c:pt>
                <c:pt idx="26">
                  <c:v>1.93469090121025</c:v>
                </c:pt>
                <c:pt idx="27">
                  <c:v>1.8687213230091999</c:v>
                </c:pt>
                <c:pt idx="28">
                  <c:v>1.8585274942227801</c:v>
                </c:pt>
                <c:pt idx="29">
                  <c:v>1.84875648451084</c:v>
                </c:pt>
                <c:pt idx="30">
                  <c:v>1.84790802592695</c:v>
                </c:pt>
                <c:pt idx="31">
                  <c:v>1.88130687284633</c:v>
                </c:pt>
                <c:pt idx="32">
                  <c:v>1.91169227820652</c:v>
                </c:pt>
                <c:pt idx="33">
                  <c:v>1.9436160644551299</c:v>
                </c:pt>
                <c:pt idx="34">
                  <c:v>1.9339061563607101</c:v>
                </c:pt>
                <c:pt idx="35">
                  <c:v>1.9128273643181</c:v>
                </c:pt>
                <c:pt idx="36">
                  <c:v>1.83248106555909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EstimacionesCom!$P$5</c:f>
              <c:strCache>
                <c:ptCount val="1"/>
                <c:pt idx="0">
                  <c:v>Base High</c:v>
                </c:pt>
              </c:strCache>
            </c:strRef>
          </c:tx>
          <c:marker>
            <c:symbol val="none"/>
          </c:marker>
          <c:cat>
            <c:numRef>
              <c:f>EstimacionesCom!$N$6:$N$54</c:f>
              <c:numCache>
                <c:formatCode>m/d/yyyy</c:formatCode>
                <c:ptCount val="49"/>
                <c:pt idx="0">
                  <c:v>43070</c:v>
                </c:pt>
                <c:pt idx="1">
                  <c:v>43101</c:v>
                </c:pt>
                <c:pt idx="2">
                  <c:v>43132</c:v>
                </c:pt>
                <c:pt idx="3">
                  <c:v>43160</c:v>
                </c:pt>
                <c:pt idx="4">
                  <c:v>43191</c:v>
                </c:pt>
                <c:pt idx="5">
                  <c:v>43221</c:v>
                </c:pt>
                <c:pt idx="6">
                  <c:v>43252</c:v>
                </c:pt>
                <c:pt idx="7">
                  <c:v>43282</c:v>
                </c:pt>
                <c:pt idx="8">
                  <c:v>43313</c:v>
                </c:pt>
                <c:pt idx="9">
                  <c:v>43344</c:v>
                </c:pt>
                <c:pt idx="10">
                  <c:v>43374</c:v>
                </c:pt>
                <c:pt idx="11">
                  <c:v>43405</c:v>
                </c:pt>
                <c:pt idx="12">
                  <c:v>43435</c:v>
                </c:pt>
                <c:pt idx="13">
                  <c:v>43466</c:v>
                </c:pt>
                <c:pt idx="14">
                  <c:v>43497</c:v>
                </c:pt>
                <c:pt idx="15">
                  <c:v>43525</c:v>
                </c:pt>
                <c:pt idx="16">
                  <c:v>43556</c:v>
                </c:pt>
                <c:pt idx="17">
                  <c:v>43586</c:v>
                </c:pt>
                <c:pt idx="18">
                  <c:v>43617</c:v>
                </c:pt>
                <c:pt idx="19">
                  <c:v>43647</c:v>
                </c:pt>
                <c:pt idx="20">
                  <c:v>43678</c:v>
                </c:pt>
                <c:pt idx="21">
                  <c:v>43709</c:v>
                </c:pt>
                <c:pt idx="22">
                  <c:v>43739</c:v>
                </c:pt>
                <c:pt idx="23">
                  <c:v>43770</c:v>
                </c:pt>
                <c:pt idx="24">
                  <c:v>43800</c:v>
                </c:pt>
                <c:pt idx="25">
                  <c:v>43831</c:v>
                </c:pt>
                <c:pt idx="26">
                  <c:v>43862</c:v>
                </c:pt>
                <c:pt idx="27">
                  <c:v>43891</c:v>
                </c:pt>
                <c:pt idx="28">
                  <c:v>43922</c:v>
                </c:pt>
                <c:pt idx="29">
                  <c:v>43952</c:v>
                </c:pt>
                <c:pt idx="30">
                  <c:v>43983</c:v>
                </c:pt>
                <c:pt idx="31">
                  <c:v>44013</c:v>
                </c:pt>
                <c:pt idx="32">
                  <c:v>44044</c:v>
                </c:pt>
                <c:pt idx="33">
                  <c:v>44075</c:v>
                </c:pt>
                <c:pt idx="34">
                  <c:v>44105</c:v>
                </c:pt>
                <c:pt idx="35">
                  <c:v>44136</c:v>
                </c:pt>
                <c:pt idx="36">
                  <c:v>44166</c:v>
                </c:pt>
              </c:numCache>
            </c:numRef>
          </c:cat>
          <c:val>
            <c:numRef>
              <c:f>EstimacionesCom!$P$6:$P$54</c:f>
              <c:numCache>
                <c:formatCode>0.00</c:formatCode>
                <c:ptCount val="49"/>
                <c:pt idx="0">
                  <c:v>2.1079043920417799</c:v>
                </c:pt>
                <c:pt idx="1">
                  <c:v>2.1085739429925101</c:v>
                </c:pt>
                <c:pt idx="2">
                  <c:v>2.1251184973963801</c:v>
                </c:pt>
                <c:pt idx="3">
                  <c:v>2.0924895910914798</c:v>
                </c:pt>
                <c:pt idx="4">
                  <c:v>2.07599574299809</c:v>
                </c:pt>
                <c:pt idx="5">
                  <c:v>2.0765404383146202</c:v>
                </c:pt>
                <c:pt idx="6">
                  <c:v>2.0837971686749701</c:v>
                </c:pt>
                <c:pt idx="7">
                  <c:v>2.1328283809597801</c:v>
                </c:pt>
                <c:pt idx="8">
                  <c:v>2.1774519885715198</c:v>
                </c:pt>
                <c:pt idx="9">
                  <c:v>2.2230076184098002</c:v>
                </c:pt>
                <c:pt idx="10">
                  <c:v>2.2211759581608099</c:v>
                </c:pt>
                <c:pt idx="11">
                  <c:v>2.2073174579873198</c:v>
                </c:pt>
                <c:pt idx="12">
                  <c:v>2.1252230604761002</c:v>
                </c:pt>
                <c:pt idx="13">
                  <c:v>2.1583528718561098</c:v>
                </c:pt>
                <c:pt idx="14">
                  <c:v>2.1508971073340302</c:v>
                </c:pt>
                <c:pt idx="15">
                  <c:v>2.0833770978830501</c:v>
                </c:pt>
                <c:pt idx="16">
                  <c:v>2.08005122717949</c:v>
                </c:pt>
                <c:pt idx="17">
                  <c:v>2.07636792124543</c:v>
                </c:pt>
                <c:pt idx="18">
                  <c:v>2.0827962388376702</c:v>
                </c:pt>
                <c:pt idx="19">
                  <c:v>2.12733301389467</c:v>
                </c:pt>
                <c:pt idx="20">
                  <c:v>2.1690870467070398</c:v>
                </c:pt>
                <c:pt idx="21">
                  <c:v>2.21240810526858</c:v>
                </c:pt>
                <c:pt idx="22">
                  <c:v>2.21103052648651</c:v>
                </c:pt>
                <c:pt idx="23">
                  <c:v>2.1971373920512498</c:v>
                </c:pt>
                <c:pt idx="24">
                  <c:v>2.1147452058977501</c:v>
                </c:pt>
                <c:pt idx="25">
                  <c:v>2.14883352936284</c:v>
                </c:pt>
                <c:pt idx="26">
                  <c:v>2.1423631519395299</c:v>
                </c:pt>
                <c:pt idx="27">
                  <c:v>2.0760601268886698</c:v>
                </c:pt>
                <c:pt idx="28">
                  <c:v>2.0732086212878702</c:v>
                </c:pt>
                <c:pt idx="29">
                  <c:v>2.0701861141351801</c:v>
                </c:pt>
                <c:pt idx="30">
                  <c:v>2.0775840194332802</c:v>
                </c:pt>
                <c:pt idx="31">
                  <c:v>2.1225419384609299</c:v>
                </c:pt>
                <c:pt idx="32">
                  <c:v>2.1649075816675998</c:v>
                </c:pt>
                <c:pt idx="33">
                  <c:v>2.2089268918329101</c:v>
                </c:pt>
                <c:pt idx="34">
                  <c:v>2.20610740272648</c:v>
                </c:pt>
                <c:pt idx="35">
                  <c:v>2.1903753219564699</c:v>
                </c:pt>
                <c:pt idx="36">
                  <c:v>2.1061114573492801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EstimacionesCom!$Q$5</c:f>
              <c:strCache>
                <c:ptCount val="1"/>
                <c:pt idx="0">
                  <c:v>BasePromedio</c:v>
                </c:pt>
              </c:strCache>
            </c:strRef>
          </c:tx>
          <c:marker>
            <c:symbol val="none"/>
          </c:marker>
          <c:cat>
            <c:numRef>
              <c:f>EstimacionesCom!$N$6:$N$54</c:f>
              <c:numCache>
                <c:formatCode>m/d/yyyy</c:formatCode>
                <c:ptCount val="49"/>
                <c:pt idx="0">
                  <c:v>43070</c:v>
                </c:pt>
                <c:pt idx="1">
                  <c:v>43101</c:v>
                </c:pt>
                <c:pt idx="2">
                  <c:v>43132</c:v>
                </c:pt>
                <c:pt idx="3">
                  <c:v>43160</c:v>
                </c:pt>
                <c:pt idx="4">
                  <c:v>43191</c:v>
                </c:pt>
                <c:pt idx="5">
                  <c:v>43221</c:v>
                </c:pt>
                <c:pt idx="6">
                  <c:v>43252</c:v>
                </c:pt>
                <c:pt idx="7">
                  <c:v>43282</c:v>
                </c:pt>
                <c:pt idx="8">
                  <c:v>43313</c:v>
                </c:pt>
                <c:pt idx="9">
                  <c:v>43344</c:v>
                </c:pt>
                <c:pt idx="10">
                  <c:v>43374</c:v>
                </c:pt>
                <c:pt idx="11">
                  <c:v>43405</c:v>
                </c:pt>
                <c:pt idx="12">
                  <c:v>43435</c:v>
                </c:pt>
                <c:pt idx="13">
                  <c:v>43466</c:v>
                </c:pt>
                <c:pt idx="14">
                  <c:v>43497</c:v>
                </c:pt>
                <c:pt idx="15">
                  <c:v>43525</c:v>
                </c:pt>
                <c:pt idx="16">
                  <c:v>43556</c:v>
                </c:pt>
                <c:pt idx="17">
                  <c:v>43586</c:v>
                </c:pt>
                <c:pt idx="18">
                  <c:v>43617</c:v>
                </c:pt>
                <c:pt idx="19">
                  <c:v>43647</c:v>
                </c:pt>
                <c:pt idx="20">
                  <c:v>43678</c:v>
                </c:pt>
                <c:pt idx="21">
                  <c:v>43709</c:v>
                </c:pt>
                <c:pt idx="22">
                  <c:v>43739</c:v>
                </c:pt>
                <c:pt idx="23">
                  <c:v>43770</c:v>
                </c:pt>
                <c:pt idx="24">
                  <c:v>43800</c:v>
                </c:pt>
                <c:pt idx="25">
                  <c:v>43831</c:v>
                </c:pt>
                <c:pt idx="26">
                  <c:v>43862</c:v>
                </c:pt>
                <c:pt idx="27">
                  <c:v>43891</c:v>
                </c:pt>
                <c:pt idx="28">
                  <c:v>43922</c:v>
                </c:pt>
                <c:pt idx="29">
                  <c:v>43952</c:v>
                </c:pt>
                <c:pt idx="30">
                  <c:v>43983</c:v>
                </c:pt>
                <c:pt idx="31">
                  <c:v>44013</c:v>
                </c:pt>
                <c:pt idx="32">
                  <c:v>44044</c:v>
                </c:pt>
                <c:pt idx="33">
                  <c:v>44075</c:v>
                </c:pt>
                <c:pt idx="34">
                  <c:v>44105</c:v>
                </c:pt>
                <c:pt idx="35">
                  <c:v>44136</c:v>
                </c:pt>
                <c:pt idx="36">
                  <c:v>44166</c:v>
                </c:pt>
              </c:numCache>
            </c:numRef>
          </c:cat>
          <c:val>
            <c:numRef>
              <c:f>EstimacionesCom!$Q$6:$Q$54</c:f>
              <c:numCache>
                <c:formatCode>0.00</c:formatCode>
                <c:ptCount val="49"/>
                <c:pt idx="0">
                  <c:v>2.0871917127697497</c:v>
                </c:pt>
                <c:pt idx="1">
                  <c:v>2.0880075583933499</c:v>
                </c:pt>
                <c:pt idx="2">
                  <c:v>2.1042241385430449</c:v>
                </c:pt>
                <c:pt idx="3">
                  <c:v>2.0706056401436896</c:v>
                </c:pt>
                <c:pt idx="4">
                  <c:v>2.0551327360663398</c:v>
                </c:pt>
                <c:pt idx="5">
                  <c:v>2.04926582150684</c:v>
                </c:pt>
                <c:pt idx="6">
                  <c:v>2.0516130546587448</c:v>
                </c:pt>
                <c:pt idx="7">
                  <c:v>2.0862544134271408</c:v>
                </c:pt>
                <c:pt idx="8">
                  <c:v>2.1177135295164828</c:v>
                </c:pt>
                <c:pt idx="9">
                  <c:v>2.1501088893936764</c:v>
                </c:pt>
                <c:pt idx="10">
                  <c:v>2.1462872379001348</c:v>
                </c:pt>
                <c:pt idx="11">
                  <c:v>2.1327980658815395</c:v>
                </c:pt>
                <c:pt idx="12">
                  <c:v>2.0663892197402958</c:v>
                </c:pt>
                <c:pt idx="13">
                  <c:v>2.0899257177464787</c:v>
                </c:pt>
                <c:pt idx="14">
                  <c:v>2.0816236530055736</c:v>
                </c:pt>
                <c:pt idx="15">
                  <c:v>2.0269666245725575</c:v>
                </c:pt>
                <c:pt idx="16">
                  <c:v>2.0211370179067565</c:v>
                </c:pt>
                <c:pt idx="17">
                  <c:v>2.0153464905313125</c:v>
                </c:pt>
                <c:pt idx="18">
                  <c:v>2.0173639067237068</c:v>
                </c:pt>
                <c:pt idx="19">
                  <c:v>2.0490966044323509</c:v>
                </c:pt>
                <c:pt idx="20">
                  <c:v>2.0783173840560201</c:v>
                </c:pt>
                <c:pt idx="21">
                  <c:v>2.108695638868392</c:v>
                </c:pt>
                <c:pt idx="22">
                  <c:v>2.1049619767370187</c:v>
                </c:pt>
                <c:pt idx="23">
                  <c:v>2.0915343337176369</c:v>
                </c:pt>
                <c:pt idx="24">
                  <c:v>2.0260010377584807</c:v>
                </c:pt>
                <c:pt idx="25">
                  <c:v>2.0497904408504577</c:v>
                </c:pt>
                <c:pt idx="26">
                  <c:v>2.0422962304343013</c:v>
                </c:pt>
                <c:pt idx="27">
                  <c:v>1.9892893611626206</c:v>
                </c:pt>
                <c:pt idx="28">
                  <c:v>1.9840265205740801</c:v>
                </c:pt>
                <c:pt idx="29">
                  <c:v>1.9788618450200512</c:v>
                </c:pt>
                <c:pt idx="30">
                  <c:v>1.9815075485245059</c:v>
                </c:pt>
                <c:pt idx="31">
                  <c:v>2.0131498540307469</c:v>
                </c:pt>
                <c:pt idx="32">
                  <c:v>2.0424134490774617</c:v>
                </c:pt>
                <c:pt idx="33">
                  <c:v>2.0728519923364348</c:v>
                </c:pt>
                <c:pt idx="34">
                  <c:v>2.0678484875011667</c:v>
                </c:pt>
                <c:pt idx="35">
                  <c:v>2.0531394907149902</c:v>
                </c:pt>
                <c:pt idx="36">
                  <c:v>1.9872460600812638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50080"/>
        <c:axId val="117551872"/>
      </c:lineChart>
      <c:dateAx>
        <c:axId val="117550080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crossAx val="117551872"/>
        <c:crosses val="autoZero"/>
        <c:auto val="1"/>
        <c:lblOffset val="100"/>
        <c:baseTimeUnit val="months"/>
      </c:dateAx>
      <c:valAx>
        <c:axId val="117551872"/>
        <c:scaling>
          <c:orientation val="minMax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crossAx val="1175500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Escenario Adverso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EstimacionesCom!$S$5</c:f>
              <c:strCache>
                <c:ptCount val="1"/>
                <c:pt idx="0">
                  <c:v>AdversoMean</c:v>
                </c:pt>
              </c:strCache>
            </c:strRef>
          </c:tx>
          <c:marker>
            <c:symbol val="none"/>
          </c:marker>
          <c:cat>
            <c:numRef>
              <c:f>EstimacionesCom!$N$6:$N$54</c:f>
              <c:numCache>
                <c:formatCode>m/d/yyyy</c:formatCode>
                <c:ptCount val="49"/>
                <c:pt idx="0">
                  <c:v>43070</c:v>
                </c:pt>
                <c:pt idx="1">
                  <c:v>43101</c:v>
                </c:pt>
                <c:pt idx="2">
                  <c:v>43132</c:v>
                </c:pt>
                <c:pt idx="3">
                  <c:v>43160</c:v>
                </c:pt>
                <c:pt idx="4">
                  <c:v>43191</c:v>
                </c:pt>
                <c:pt idx="5">
                  <c:v>43221</c:v>
                </c:pt>
                <c:pt idx="6">
                  <c:v>43252</c:v>
                </c:pt>
                <c:pt idx="7">
                  <c:v>43282</c:v>
                </c:pt>
                <c:pt idx="8">
                  <c:v>43313</c:v>
                </c:pt>
                <c:pt idx="9">
                  <c:v>43344</c:v>
                </c:pt>
                <c:pt idx="10">
                  <c:v>43374</c:v>
                </c:pt>
                <c:pt idx="11">
                  <c:v>43405</c:v>
                </c:pt>
                <c:pt idx="12">
                  <c:v>43435</c:v>
                </c:pt>
                <c:pt idx="13">
                  <c:v>43466</c:v>
                </c:pt>
                <c:pt idx="14">
                  <c:v>43497</c:v>
                </c:pt>
                <c:pt idx="15">
                  <c:v>43525</c:v>
                </c:pt>
                <c:pt idx="16">
                  <c:v>43556</c:v>
                </c:pt>
                <c:pt idx="17">
                  <c:v>43586</c:v>
                </c:pt>
                <c:pt idx="18">
                  <c:v>43617</c:v>
                </c:pt>
                <c:pt idx="19">
                  <c:v>43647</c:v>
                </c:pt>
                <c:pt idx="20">
                  <c:v>43678</c:v>
                </c:pt>
                <c:pt idx="21">
                  <c:v>43709</c:v>
                </c:pt>
                <c:pt idx="22">
                  <c:v>43739</c:v>
                </c:pt>
                <c:pt idx="23">
                  <c:v>43770</c:v>
                </c:pt>
                <c:pt idx="24">
                  <c:v>43800</c:v>
                </c:pt>
                <c:pt idx="25">
                  <c:v>43831</c:v>
                </c:pt>
                <c:pt idx="26">
                  <c:v>43862</c:v>
                </c:pt>
                <c:pt idx="27">
                  <c:v>43891</c:v>
                </c:pt>
                <c:pt idx="28">
                  <c:v>43922</c:v>
                </c:pt>
                <c:pt idx="29">
                  <c:v>43952</c:v>
                </c:pt>
                <c:pt idx="30">
                  <c:v>43983</c:v>
                </c:pt>
                <c:pt idx="31">
                  <c:v>44013</c:v>
                </c:pt>
                <c:pt idx="32">
                  <c:v>44044</c:v>
                </c:pt>
                <c:pt idx="33">
                  <c:v>44075</c:v>
                </c:pt>
                <c:pt idx="34">
                  <c:v>44105</c:v>
                </c:pt>
                <c:pt idx="35">
                  <c:v>44136</c:v>
                </c:pt>
                <c:pt idx="36">
                  <c:v>44166</c:v>
                </c:pt>
              </c:numCache>
            </c:numRef>
          </c:cat>
          <c:val>
            <c:numRef>
              <c:f>EstimacionesCom!$S$6:$S$54</c:f>
              <c:numCache>
                <c:formatCode>0.00</c:formatCode>
                <c:ptCount val="49"/>
                <c:pt idx="0">
                  <c:v>2.0664790334977199</c:v>
                </c:pt>
                <c:pt idx="1">
                  <c:v>2.0674411737941898</c:v>
                </c:pt>
                <c:pt idx="2">
                  <c:v>2.0833297796897101</c:v>
                </c:pt>
                <c:pt idx="3">
                  <c:v>2.0487216891958999</c:v>
                </c:pt>
                <c:pt idx="4">
                  <c:v>2.0359160416652</c:v>
                </c:pt>
                <c:pt idx="5">
                  <c:v>2.02521243061955</c:v>
                </c:pt>
                <c:pt idx="6">
                  <c:v>2.0242829902712098</c:v>
                </c:pt>
                <c:pt idx="7">
                  <c:v>2.0635603460012302</c:v>
                </c:pt>
                <c:pt idx="8">
                  <c:v>2.0997184471596002</c:v>
                </c:pt>
                <c:pt idx="9">
                  <c:v>2.1376623289646899</c:v>
                </c:pt>
                <c:pt idx="10">
                  <c:v>2.13091466546304</c:v>
                </c:pt>
                <c:pt idx="11">
                  <c:v>2.1117145459381699</c:v>
                </c:pt>
                <c:pt idx="12">
                  <c:v>2.0267536776023198</c:v>
                </c:pt>
                <c:pt idx="13">
                  <c:v>2.0555510816292299</c:v>
                </c:pt>
                <c:pt idx="14">
                  <c:v>2.0448734879749102</c:v>
                </c:pt>
                <c:pt idx="15">
                  <c:v>1.97711487178532</c:v>
                </c:pt>
                <c:pt idx="16">
                  <c:v>1.96686005899507</c:v>
                </c:pt>
                <c:pt idx="17">
                  <c:v>1.9570301334337299</c:v>
                </c:pt>
                <c:pt idx="18">
                  <c:v>1.9566595342040201</c:v>
                </c:pt>
                <c:pt idx="19">
                  <c:v>1.9935840407363901</c:v>
                </c:pt>
                <c:pt idx="20">
                  <c:v>2.0274223037999102</c:v>
                </c:pt>
                <c:pt idx="21">
                  <c:v>2.0629468627874799</c:v>
                </c:pt>
                <c:pt idx="22">
                  <c:v>2.05535025937073</c:v>
                </c:pt>
                <c:pt idx="23">
                  <c:v>2.0357207480288002</c:v>
                </c:pt>
                <c:pt idx="24">
                  <c:v>1.9527866950572299</c:v>
                </c:pt>
                <c:pt idx="25">
                  <c:v>1.97780537641702</c:v>
                </c:pt>
                <c:pt idx="26">
                  <c:v>1.9648217880268599</c:v>
                </c:pt>
                <c:pt idx="27">
                  <c:v>1.89735235504255</c:v>
                </c:pt>
                <c:pt idx="28">
                  <c:v>1.8849680912822</c:v>
                </c:pt>
                <c:pt idx="29">
                  <c:v>1.8731018675475299</c:v>
                </c:pt>
                <c:pt idx="30">
                  <c:v>1.8702238945266501</c:v>
                </c:pt>
                <c:pt idx="31">
                  <c:v>1.90303260282109</c:v>
                </c:pt>
                <c:pt idx="32">
                  <c:v>1.9327262895244901</c:v>
                </c:pt>
                <c:pt idx="33">
                  <c:v>1.963941872418</c:v>
                </c:pt>
                <c:pt idx="34">
                  <c:v>1.95258439841945</c:v>
                </c:pt>
                <c:pt idx="35">
                  <c:v>1.9297231484017701</c:v>
                </c:pt>
                <c:pt idx="36">
                  <c:v>1.8472045756092801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EstimacionesCom!$T$5</c:f>
              <c:strCache>
                <c:ptCount val="1"/>
                <c:pt idx="0">
                  <c:v>Adverso High</c:v>
                </c:pt>
              </c:strCache>
            </c:strRef>
          </c:tx>
          <c:marker>
            <c:symbol val="none"/>
          </c:marker>
          <c:cat>
            <c:numRef>
              <c:f>EstimacionesCom!$N$6:$N$54</c:f>
              <c:numCache>
                <c:formatCode>m/d/yyyy</c:formatCode>
                <c:ptCount val="49"/>
                <c:pt idx="0">
                  <c:v>43070</c:v>
                </c:pt>
                <c:pt idx="1">
                  <c:v>43101</c:v>
                </c:pt>
                <c:pt idx="2">
                  <c:v>43132</c:v>
                </c:pt>
                <c:pt idx="3">
                  <c:v>43160</c:v>
                </c:pt>
                <c:pt idx="4">
                  <c:v>43191</c:v>
                </c:pt>
                <c:pt idx="5">
                  <c:v>43221</c:v>
                </c:pt>
                <c:pt idx="6">
                  <c:v>43252</c:v>
                </c:pt>
                <c:pt idx="7">
                  <c:v>43282</c:v>
                </c:pt>
                <c:pt idx="8">
                  <c:v>43313</c:v>
                </c:pt>
                <c:pt idx="9">
                  <c:v>43344</c:v>
                </c:pt>
                <c:pt idx="10">
                  <c:v>43374</c:v>
                </c:pt>
                <c:pt idx="11">
                  <c:v>43405</c:v>
                </c:pt>
                <c:pt idx="12">
                  <c:v>43435</c:v>
                </c:pt>
                <c:pt idx="13">
                  <c:v>43466</c:v>
                </c:pt>
                <c:pt idx="14">
                  <c:v>43497</c:v>
                </c:pt>
                <c:pt idx="15">
                  <c:v>43525</c:v>
                </c:pt>
                <c:pt idx="16">
                  <c:v>43556</c:v>
                </c:pt>
                <c:pt idx="17">
                  <c:v>43586</c:v>
                </c:pt>
                <c:pt idx="18">
                  <c:v>43617</c:v>
                </c:pt>
                <c:pt idx="19">
                  <c:v>43647</c:v>
                </c:pt>
                <c:pt idx="20">
                  <c:v>43678</c:v>
                </c:pt>
                <c:pt idx="21">
                  <c:v>43709</c:v>
                </c:pt>
                <c:pt idx="22">
                  <c:v>43739</c:v>
                </c:pt>
                <c:pt idx="23">
                  <c:v>43770</c:v>
                </c:pt>
                <c:pt idx="24">
                  <c:v>43800</c:v>
                </c:pt>
                <c:pt idx="25">
                  <c:v>43831</c:v>
                </c:pt>
                <c:pt idx="26">
                  <c:v>43862</c:v>
                </c:pt>
                <c:pt idx="27">
                  <c:v>43891</c:v>
                </c:pt>
                <c:pt idx="28">
                  <c:v>43922</c:v>
                </c:pt>
                <c:pt idx="29">
                  <c:v>43952</c:v>
                </c:pt>
                <c:pt idx="30">
                  <c:v>43983</c:v>
                </c:pt>
                <c:pt idx="31">
                  <c:v>44013</c:v>
                </c:pt>
                <c:pt idx="32">
                  <c:v>44044</c:v>
                </c:pt>
                <c:pt idx="33">
                  <c:v>44075</c:v>
                </c:pt>
                <c:pt idx="34">
                  <c:v>44105</c:v>
                </c:pt>
                <c:pt idx="35">
                  <c:v>44136</c:v>
                </c:pt>
                <c:pt idx="36">
                  <c:v>44166</c:v>
                </c:pt>
              </c:numCache>
            </c:numRef>
          </c:cat>
          <c:val>
            <c:numRef>
              <c:f>EstimacionesCom!$T$6:$T$54</c:f>
              <c:numCache>
                <c:formatCode>0.00</c:formatCode>
                <c:ptCount val="49"/>
                <c:pt idx="0">
                  <c:v>2.1079043920417799</c:v>
                </c:pt>
                <c:pt idx="1">
                  <c:v>2.1085739429925101</c:v>
                </c:pt>
                <c:pt idx="2">
                  <c:v>2.1251184973963801</c:v>
                </c:pt>
                <c:pt idx="3">
                  <c:v>2.0924895910914798</c:v>
                </c:pt>
                <c:pt idx="4">
                  <c:v>2.1582124246650598</c:v>
                </c:pt>
                <c:pt idx="5">
                  <c:v>2.18435514939446</c:v>
                </c:pt>
                <c:pt idx="6">
                  <c:v>2.21442472567501</c:v>
                </c:pt>
                <c:pt idx="7">
                  <c:v>2.3009097482595462</c:v>
                </c:pt>
                <c:pt idx="8">
                  <c:v>2.3842670008997122</c:v>
                </c:pt>
                <c:pt idx="9">
                  <c:v>2.4668849909430279</c:v>
                </c:pt>
                <c:pt idx="10">
                  <c:v>2.4948264465012739</c:v>
                </c:pt>
                <c:pt idx="11">
                  <c:v>2.5135788153979832</c:v>
                </c:pt>
                <c:pt idx="12">
                  <c:v>2.4353895581669898</c:v>
                </c:pt>
                <c:pt idx="13">
                  <c:v>2.4999735643592214</c:v>
                </c:pt>
                <c:pt idx="14">
                  <c:v>2.5234951948562614</c:v>
                </c:pt>
                <c:pt idx="15">
                  <c:v>2.4597591900877211</c:v>
                </c:pt>
                <c:pt idx="16">
                  <c:v>2.474912185226565</c:v>
                </c:pt>
                <c:pt idx="17">
                  <c:v>2.4873778912955595</c:v>
                </c:pt>
                <c:pt idx="18">
                  <c:v>2.5206998848861213</c:v>
                </c:pt>
                <c:pt idx="19">
                  <c:v>2.5878775144263093</c:v>
                </c:pt>
                <c:pt idx="20">
                  <c:v>2.6741798138318895</c:v>
                </c:pt>
                <c:pt idx="21">
                  <c:v>2.7610294786662948</c:v>
                </c:pt>
                <c:pt idx="22">
                  <c:v>2.7970557454832554</c:v>
                </c:pt>
                <c:pt idx="23">
                  <c:v>2.820553672636795</c:v>
                </c:pt>
                <c:pt idx="24">
                  <c:v>2.7297902027313752</c:v>
                </c:pt>
                <c:pt idx="25">
                  <c:v>2.7842631407516603</c:v>
                </c:pt>
                <c:pt idx="26">
                  <c:v>2.7946930482131473</c:v>
                </c:pt>
                <c:pt idx="27">
                  <c:v>2.7097955069892778</c:v>
                </c:pt>
                <c:pt idx="28">
                  <c:v>2.7138370818573216</c:v>
                </c:pt>
                <c:pt idx="29">
                  <c:v>2.7171576636276442</c:v>
                </c:pt>
                <c:pt idx="30">
                  <c:v>2.7463080581749693</c:v>
                </c:pt>
                <c:pt idx="31">
                  <c:v>2.8250594721218349</c:v>
                </c:pt>
                <c:pt idx="32">
                  <c:v>2.9082837651940703</c:v>
                </c:pt>
                <c:pt idx="33">
                  <c:v>2.9938820119010576</c:v>
                </c:pt>
                <c:pt idx="34">
                  <c:v>3.0102952381603423</c:v>
                </c:pt>
                <c:pt idx="35">
                  <c:v>3.0079312810447605</c:v>
                </c:pt>
                <c:pt idx="36">
                  <c:v>2.8880165920996967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EstimacionesCom!$U$5</c:f>
              <c:strCache>
                <c:ptCount val="1"/>
                <c:pt idx="0">
                  <c:v>AdversoPromedio</c:v>
                </c:pt>
              </c:strCache>
            </c:strRef>
          </c:tx>
          <c:marker>
            <c:symbol val="none"/>
          </c:marker>
          <c:cat>
            <c:numRef>
              <c:f>EstimacionesCom!$N$6:$N$54</c:f>
              <c:numCache>
                <c:formatCode>m/d/yyyy</c:formatCode>
                <c:ptCount val="49"/>
                <c:pt idx="0">
                  <c:v>43070</c:v>
                </c:pt>
                <c:pt idx="1">
                  <c:v>43101</c:v>
                </c:pt>
                <c:pt idx="2">
                  <c:v>43132</c:v>
                </c:pt>
                <c:pt idx="3">
                  <c:v>43160</c:v>
                </c:pt>
                <c:pt idx="4">
                  <c:v>43191</c:v>
                </c:pt>
                <c:pt idx="5">
                  <c:v>43221</c:v>
                </c:pt>
                <c:pt idx="6">
                  <c:v>43252</c:v>
                </c:pt>
                <c:pt idx="7">
                  <c:v>43282</c:v>
                </c:pt>
                <c:pt idx="8">
                  <c:v>43313</c:v>
                </c:pt>
                <c:pt idx="9">
                  <c:v>43344</c:v>
                </c:pt>
                <c:pt idx="10">
                  <c:v>43374</c:v>
                </c:pt>
                <c:pt idx="11">
                  <c:v>43405</c:v>
                </c:pt>
                <c:pt idx="12">
                  <c:v>43435</c:v>
                </c:pt>
                <c:pt idx="13">
                  <c:v>43466</c:v>
                </c:pt>
                <c:pt idx="14">
                  <c:v>43497</c:v>
                </c:pt>
                <c:pt idx="15">
                  <c:v>43525</c:v>
                </c:pt>
                <c:pt idx="16">
                  <c:v>43556</c:v>
                </c:pt>
                <c:pt idx="17">
                  <c:v>43586</c:v>
                </c:pt>
                <c:pt idx="18">
                  <c:v>43617</c:v>
                </c:pt>
                <c:pt idx="19">
                  <c:v>43647</c:v>
                </c:pt>
                <c:pt idx="20">
                  <c:v>43678</c:v>
                </c:pt>
                <c:pt idx="21">
                  <c:v>43709</c:v>
                </c:pt>
                <c:pt idx="22">
                  <c:v>43739</c:v>
                </c:pt>
                <c:pt idx="23">
                  <c:v>43770</c:v>
                </c:pt>
                <c:pt idx="24">
                  <c:v>43800</c:v>
                </c:pt>
                <c:pt idx="25">
                  <c:v>43831</c:v>
                </c:pt>
                <c:pt idx="26">
                  <c:v>43862</c:v>
                </c:pt>
                <c:pt idx="27">
                  <c:v>43891</c:v>
                </c:pt>
                <c:pt idx="28">
                  <c:v>43922</c:v>
                </c:pt>
                <c:pt idx="29">
                  <c:v>43952</c:v>
                </c:pt>
                <c:pt idx="30">
                  <c:v>43983</c:v>
                </c:pt>
                <c:pt idx="31">
                  <c:v>44013</c:v>
                </c:pt>
                <c:pt idx="32">
                  <c:v>44044</c:v>
                </c:pt>
                <c:pt idx="33">
                  <c:v>44075</c:v>
                </c:pt>
                <c:pt idx="34">
                  <c:v>44105</c:v>
                </c:pt>
                <c:pt idx="35">
                  <c:v>44136</c:v>
                </c:pt>
                <c:pt idx="36">
                  <c:v>44166</c:v>
                </c:pt>
              </c:numCache>
            </c:numRef>
          </c:cat>
          <c:val>
            <c:numRef>
              <c:f>EstimacionesCom!$T$6:$T$54</c:f>
              <c:numCache>
                <c:formatCode>0.00</c:formatCode>
                <c:ptCount val="49"/>
                <c:pt idx="0">
                  <c:v>2.1079043920417799</c:v>
                </c:pt>
                <c:pt idx="1">
                  <c:v>2.1085739429925101</c:v>
                </c:pt>
                <c:pt idx="2">
                  <c:v>2.1251184973963801</c:v>
                </c:pt>
                <c:pt idx="3">
                  <c:v>2.0924895910914798</c:v>
                </c:pt>
                <c:pt idx="4">
                  <c:v>2.1582124246650598</c:v>
                </c:pt>
                <c:pt idx="5">
                  <c:v>2.18435514939446</c:v>
                </c:pt>
                <c:pt idx="6">
                  <c:v>2.21442472567501</c:v>
                </c:pt>
                <c:pt idx="7">
                  <c:v>2.3009097482595462</c:v>
                </c:pt>
                <c:pt idx="8">
                  <c:v>2.3842670008997122</c:v>
                </c:pt>
                <c:pt idx="9">
                  <c:v>2.4668849909430279</c:v>
                </c:pt>
                <c:pt idx="10">
                  <c:v>2.4948264465012739</c:v>
                </c:pt>
                <c:pt idx="11">
                  <c:v>2.5135788153979832</c:v>
                </c:pt>
                <c:pt idx="12">
                  <c:v>2.4353895581669898</c:v>
                </c:pt>
                <c:pt idx="13">
                  <c:v>2.4999735643592214</c:v>
                </c:pt>
                <c:pt idx="14">
                  <c:v>2.5234951948562614</c:v>
                </c:pt>
                <c:pt idx="15">
                  <c:v>2.4597591900877211</c:v>
                </c:pt>
                <c:pt idx="16">
                  <c:v>2.474912185226565</c:v>
                </c:pt>
                <c:pt idx="17">
                  <c:v>2.4873778912955595</c:v>
                </c:pt>
                <c:pt idx="18">
                  <c:v>2.5206998848861213</c:v>
                </c:pt>
                <c:pt idx="19">
                  <c:v>2.5878775144263093</c:v>
                </c:pt>
                <c:pt idx="20">
                  <c:v>2.6741798138318895</c:v>
                </c:pt>
                <c:pt idx="21">
                  <c:v>2.7610294786662948</c:v>
                </c:pt>
                <c:pt idx="22">
                  <c:v>2.7970557454832554</c:v>
                </c:pt>
                <c:pt idx="23">
                  <c:v>2.820553672636795</c:v>
                </c:pt>
                <c:pt idx="24">
                  <c:v>2.7297902027313752</c:v>
                </c:pt>
                <c:pt idx="25">
                  <c:v>2.7842631407516603</c:v>
                </c:pt>
                <c:pt idx="26">
                  <c:v>2.7946930482131473</c:v>
                </c:pt>
                <c:pt idx="27">
                  <c:v>2.7097955069892778</c:v>
                </c:pt>
                <c:pt idx="28">
                  <c:v>2.7138370818573216</c:v>
                </c:pt>
                <c:pt idx="29">
                  <c:v>2.7171576636276442</c:v>
                </c:pt>
                <c:pt idx="30">
                  <c:v>2.7463080581749693</c:v>
                </c:pt>
                <c:pt idx="31">
                  <c:v>2.8250594721218349</c:v>
                </c:pt>
                <c:pt idx="32">
                  <c:v>2.9082837651940703</c:v>
                </c:pt>
                <c:pt idx="33">
                  <c:v>2.9938820119010576</c:v>
                </c:pt>
                <c:pt idx="34">
                  <c:v>3.0102952381603423</c:v>
                </c:pt>
                <c:pt idx="35">
                  <c:v>3.0079312810447605</c:v>
                </c:pt>
                <c:pt idx="36">
                  <c:v>2.8880165920996967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65696"/>
        <c:axId val="123535360"/>
      </c:lineChart>
      <c:dateAx>
        <c:axId val="117565696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crossAx val="123535360"/>
        <c:crosses val="autoZero"/>
        <c:auto val="1"/>
        <c:lblOffset val="100"/>
        <c:baseTimeUnit val="months"/>
      </c:dateAx>
      <c:valAx>
        <c:axId val="123535360"/>
        <c:scaling>
          <c:orientation val="minMax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crossAx val="117565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EstimacionesCom!$O$5</c:f>
              <c:strCache>
                <c:ptCount val="1"/>
                <c:pt idx="0">
                  <c:v>Base Mean</c:v>
                </c:pt>
              </c:strCache>
            </c:strRef>
          </c:tx>
          <c:marker>
            <c:symbol val="none"/>
          </c:marker>
          <c:val>
            <c:numRef>
              <c:f>EstimacionesCom!$O$6:$O$42</c:f>
              <c:numCache>
                <c:formatCode>0.00</c:formatCode>
                <c:ptCount val="37"/>
                <c:pt idx="0">
                  <c:v>2.0664790334977199</c:v>
                </c:pt>
                <c:pt idx="1">
                  <c:v>2.0674411737941898</c:v>
                </c:pt>
                <c:pt idx="2">
                  <c:v>2.0833297796897101</c:v>
                </c:pt>
                <c:pt idx="3">
                  <c:v>2.0487216891958999</c:v>
                </c:pt>
                <c:pt idx="4">
                  <c:v>2.0342697291345901</c:v>
                </c:pt>
                <c:pt idx="5">
                  <c:v>2.0219912046990598</c:v>
                </c:pt>
                <c:pt idx="6">
                  <c:v>2.0194289406425199</c:v>
                </c:pt>
                <c:pt idx="7">
                  <c:v>2.0570011252786999</c:v>
                </c:pt>
                <c:pt idx="8">
                  <c:v>2.0913517860873099</c:v>
                </c:pt>
                <c:pt idx="9">
                  <c:v>2.12742277417783</c:v>
                </c:pt>
                <c:pt idx="10">
                  <c:v>2.1195887444184001</c:v>
                </c:pt>
                <c:pt idx="11">
                  <c:v>2.0993457269039402</c:v>
                </c:pt>
                <c:pt idx="12">
                  <c:v>2.0138196301201501</c:v>
                </c:pt>
                <c:pt idx="13">
                  <c:v>2.0396202522616198</c:v>
                </c:pt>
                <c:pt idx="14">
                  <c:v>2.0262308712116202</c:v>
                </c:pt>
                <c:pt idx="15">
                  <c:v>1.9566527299221499</c:v>
                </c:pt>
                <c:pt idx="16">
                  <c:v>1.9454545671952299</c:v>
                </c:pt>
                <c:pt idx="17">
                  <c:v>1.93472160564234</c:v>
                </c:pt>
                <c:pt idx="18">
                  <c:v>1.9333122990481499</c:v>
                </c:pt>
                <c:pt idx="19">
                  <c:v>1.9677411717933899</c:v>
                </c:pt>
                <c:pt idx="20">
                  <c:v>1.99898349019241</c:v>
                </c:pt>
                <c:pt idx="21">
                  <c:v>2.0318170109417801</c:v>
                </c:pt>
                <c:pt idx="22">
                  <c:v>2.02380104431281</c:v>
                </c:pt>
                <c:pt idx="23">
                  <c:v>2.00392646274635</c:v>
                </c:pt>
                <c:pt idx="24">
                  <c:v>1.9217806130536901</c:v>
                </c:pt>
                <c:pt idx="25">
                  <c:v>1.94693864361839</c:v>
                </c:pt>
                <c:pt idx="26">
                  <c:v>1.93469090121025</c:v>
                </c:pt>
                <c:pt idx="27">
                  <c:v>1.8687213230091999</c:v>
                </c:pt>
                <c:pt idx="28">
                  <c:v>1.8585274942227801</c:v>
                </c:pt>
                <c:pt idx="29">
                  <c:v>1.84875648451084</c:v>
                </c:pt>
                <c:pt idx="30">
                  <c:v>1.84790802592695</c:v>
                </c:pt>
                <c:pt idx="31">
                  <c:v>1.88130687284633</c:v>
                </c:pt>
                <c:pt idx="32">
                  <c:v>1.91169227820652</c:v>
                </c:pt>
                <c:pt idx="33">
                  <c:v>1.9436160644551299</c:v>
                </c:pt>
                <c:pt idx="34">
                  <c:v>1.9339061563607101</c:v>
                </c:pt>
                <c:pt idx="35">
                  <c:v>1.9128273643181</c:v>
                </c:pt>
                <c:pt idx="36">
                  <c:v>1.83248106555909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EstimacionesCom!$W$5</c:f>
              <c:strCache>
                <c:ptCount val="1"/>
              </c:strCache>
            </c:strRef>
          </c:tx>
          <c:marker>
            <c:symbol val="none"/>
          </c:marker>
          <c:val>
            <c:numRef>
              <c:f>EstimacionesCom!$W$6:$W$42</c:f>
              <c:numCache>
                <c:formatCode>0.00</c:formatCode>
                <c:ptCount val="37"/>
                <c:pt idx="1">
                  <c:v>2.1085739429925101</c:v>
                </c:pt>
                <c:pt idx="2">
                  <c:v>2.1251184973963801</c:v>
                </c:pt>
                <c:pt idx="3">
                  <c:v>2.0706056401436896</c:v>
                </c:pt>
                <c:pt idx="4">
                  <c:v>2.0970642331651299</c:v>
                </c:pt>
                <c:pt idx="5">
                  <c:v>2.104783790007005</c:v>
                </c:pt>
                <c:pt idx="6">
                  <c:v>2.1193538579731097</c:v>
                </c:pt>
                <c:pt idx="7">
                  <c:v>2.1750279619150099</c:v>
                </c:pt>
                <c:pt idx="8">
                  <c:v>2.2276216194675653</c:v>
                </c:pt>
                <c:pt idx="9">
                  <c:v>2.3232753862023201</c:v>
                </c:pt>
                <c:pt idx="10">
                  <c:v>2.3337972807757499</c:v>
                </c:pt>
                <c:pt idx="11">
                  <c:v>2.3345299103678649</c:v>
                </c:pt>
                <c:pt idx="12">
                  <c:v>2.4353895581669898</c:v>
                </c:pt>
                <c:pt idx="13">
                  <c:v>2.4999735643592214</c:v>
                </c:pt>
                <c:pt idx="14">
                  <c:v>2.5234951948562614</c:v>
                </c:pt>
                <c:pt idx="15">
                  <c:v>2.4597591900877211</c:v>
                </c:pt>
                <c:pt idx="16">
                  <c:v>2.474912185226565</c:v>
                </c:pt>
                <c:pt idx="17">
                  <c:v>2.4873778912955595</c:v>
                </c:pt>
                <c:pt idx="18">
                  <c:v>2.5206998848861213</c:v>
                </c:pt>
                <c:pt idx="19">
                  <c:v>2.5878775144263093</c:v>
                </c:pt>
                <c:pt idx="20">
                  <c:v>2.6741798138318895</c:v>
                </c:pt>
                <c:pt idx="21">
                  <c:v>2.7610294786662948</c:v>
                </c:pt>
                <c:pt idx="22">
                  <c:v>2.7970557454832554</c:v>
                </c:pt>
                <c:pt idx="23">
                  <c:v>2.820553672636795</c:v>
                </c:pt>
                <c:pt idx="24">
                  <c:v>2.7297902027313752</c:v>
                </c:pt>
                <c:pt idx="25">
                  <c:v>2.7842631407516603</c:v>
                </c:pt>
                <c:pt idx="26">
                  <c:v>2.7946930482131473</c:v>
                </c:pt>
                <c:pt idx="27">
                  <c:v>2.7097955069892778</c:v>
                </c:pt>
                <c:pt idx="28">
                  <c:v>2.7138370818573216</c:v>
                </c:pt>
                <c:pt idx="29">
                  <c:v>2.7171576636276442</c:v>
                </c:pt>
                <c:pt idx="30">
                  <c:v>2.7463080581749693</c:v>
                </c:pt>
                <c:pt idx="31">
                  <c:v>2.8250594721218349</c:v>
                </c:pt>
                <c:pt idx="32">
                  <c:v>2.9082837651940703</c:v>
                </c:pt>
                <c:pt idx="33">
                  <c:v>2.9938820119010576</c:v>
                </c:pt>
                <c:pt idx="34">
                  <c:v>3.0102952381603423</c:v>
                </c:pt>
                <c:pt idx="35">
                  <c:v>3.0079312810447605</c:v>
                </c:pt>
                <c:pt idx="36">
                  <c:v>2.8880165920996967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572992"/>
        <c:axId val="123574528"/>
      </c:lineChart>
      <c:catAx>
        <c:axId val="1235729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3574528"/>
        <c:crosses val="autoZero"/>
        <c:auto val="1"/>
        <c:lblAlgn val="ctr"/>
        <c:lblOffset val="100"/>
        <c:noMultiLvlLbl val="0"/>
      </c:catAx>
      <c:valAx>
        <c:axId val="12357452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35729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EstimacionesCom!$B$56</c:f>
              <c:strCache>
                <c:ptCount val="1"/>
                <c:pt idx="0">
                  <c:v>Entrega 2017</c:v>
                </c:pt>
              </c:strCache>
            </c:strRef>
          </c:tx>
          <c:marker>
            <c:symbol val="none"/>
          </c:marker>
          <c:val>
            <c:numRef>
              <c:f>EstimacionesCom!$B$57:$B$92</c:f>
              <c:numCache>
                <c:formatCode>0.00</c:formatCode>
                <c:ptCount val="36"/>
                <c:pt idx="0">
                  <c:v>2.3636820118352002</c:v>
                </c:pt>
                <c:pt idx="1">
                  <c:v>2.32964942821918</c:v>
                </c:pt>
                <c:pt idx="2">
                  <c:v>2.2605574433312299</c:v>
                </c:pt>
                <c:pt idx="3">
                  <c:v>2.2935807239396699</c:v>
                </c:pt>
                <c:pt idx="4">
                  <c:v>2.2978624666902001</c:v>
                </c:pt>
                <c:pt idx="5">
                  <c:v>2.2173956495434899</c:v>
                </c:pt>
                <c:pt idx="6">
                  <c:v>2.2659190862766598</c:v>
                </c:pt>
                <c:pt idx="7">
                  <c:v>2.2712974966165098</c:v>
                </c:pt>
                <c:pt idx="8">
                  <c:v>2.2705119587154599</c:v>
                </c:pt>
                <c:pt idx="9">
                  <c:v>2.2652568226481602</c:v>
                </c:pt>
                <c:pt idx="10">
                  <c:v>2.2160083314486498</c:v>
                </c:pt>
                <c:pt idx="11">
                  <c:v>2.21888594762419</c:v>
                </c:pt>
                <c:pt idx="12">
                  <c:v>2.3546054810811099</c:v>
                </c:pt>
                <c:pt idx="13">
                  <c:v>2.35867661111959</c:v>
                </c:pt>
                <c:pt idx="14">
                  <c:v>2.2849843273068502</c:v>
                </c:pt>
                <c:pt idx="15">
                  <c:v>2.30345429415638</c:v>
                </c:pt>
                <c:pt idx="16">
                  <c:v>2.27840932324523</c:v>
                </c:pt>
                <c:pt idx="17">
                  <c:v>2.2000677782010198</c:v>
                </c:pt>
                <c:pt idx="18">
                  <c:v>2.2478979164541002</c:v>
                </c:pt>
                <c:pt idx="19">
                  <c:v>2.25291873864695</c:v>
                </c:pt>
                <c:pt idx="20">
                  <c:v>2.2518248970177899</c:v>
                </c:pt>
                <c:pt idx="21">
                  <c:v>2.2469269442661401</c:v>
                </c:pt>
                <c:pt idx="22">
                  <c:v>2.1983841088049099</c:v>
                </c:pt>
                <c:pt idx="23">
                  <c:v>2.2015464303251702</c:v>
                </c:pt>
                <c:pt idx="24">
                  <c:v>2.3368583291479501</c:v>
                </c:pt>
                <c:pt idx="25">
                  <c:v>2.3415530337224002</c:v>
                </c:pt>
                <c:pt idx="26">
                  <c:v>2.2690297384493299</c:v>
                </c:pt>
                <c:pt idx="27">
                  <c:v>2.28689138436981</c:v>
                </c:pt>
                <c:pt idx="28">
                  <c:v>2.26155245285655</c:v>
                </c:pt>
                <c:pt idx="29">
                  <c:v>2.1833328698107599</c:v>
                </c:pt>
                <c:pt idx="30">
                  <c:v>2.2307212624244799</c:v>
                </c:pt>
                <c:pt idx="31">
                  <c:v>2.2356256243863899</c:v>
                </c:pt>
                <c:pt idx="32">
                  <c:v>2.2344621245943301</c:v>
                </c:pt>
                <c:pt idx="33">
                  <c:v>2.2298355996519099</c:v>
                </c:pt>
                <c:pt idx="34">
                  <c:v>2.1818906451968201</c:v>
                </c:pt>
                <c:pt idx="35">
                  <c:v>2.1852582320404998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EstimacionesCom!$C$56</c:f>
              <c:strCache>
                <c:ptCount val="1"/>
                <c:pt idx="0">
                  <c:v>Entrega 2018</c:v>
                </c:pt>
              </c:strCache>
            </c:strRef>
          </c:tx>
          <c:marker>
            <c:symbol val="none"/>
          </c:marker>
          <c:val>
            <c:numRef>
              <c:f>EstimacionesCom!$C$57:$C$92</c:f>
              <c:numCache>
                <c:formatCode>0.00</c:formatCode>
                <c:ptCount val="36"/>
                <c:pt idx="0">
                  <c:v>2.36646858743419</c:v>
                </c:pt>
                <c:pt idx="1">
                  <c:v>2.3345448125586499</c:v>
                </c:pt>
                <c:pt idx="2">
                  <c:v>2.26529453717834</c:v>
                </c:pt>
                <c:pt idx="3">
                  <c:v>2.2245103712267098</c:v>
                </c:pt>
                <c:pt idx="4">
                  <c:v>2.1856972652500901</c:v>
                </c:pt>
                <c:pt idx="5">
                  <c:v>2.1939301537956002</c:v>
                </c:pt>
                <c:pt idx="6">
                  <c:v>2.2384206753617701</c:v>
                </c:pt>
                <c:pt idx="7">
                  <c:v>2.29642027385152</c:v>
                </c:pt>
                <c:pt idx="8">
                  <c:v>2.3606939103075</c:v>
                </c:pt>
                <c:pt idx="9">
                  <c:v>2.3270195989992302</c:v>
                </c:pt>
                <c:pt idx="10">
                  <c:v>2.2791740796074502</c:v>
                </c:pt>
                <c:pt idx="11">
                  <c:v>2.2305139284076798</c:v>
                </c:pt>
                <c:pt idx="12">
                  <c:v>2.2704762917324102</c:v>
                </c:pt>
                <c:pt idx="13">
                  <c:v>2.24550026593815</c:v>
                </c:pt>
                <c:pt idx="14">
                  <c:v>2.1189527872362302</c:v>
                </c:pt>
                <c:pt idx="15">
                  <c:v>2.0938625616169202</c:v>
                </c:pt>
                <c:pt idx="16">
                  <c:v>2.06032751959772</c:v>
                </c:pt>
                <c:pt idx="17">
                  <c:v>2.0481073494642699</c:v>
                </c:pt>
                <c:pt idx="18">
                  <c:v>2.09546368992839</c:v>
                </c:pt>
                <c:pt idx="19">
                  <c:v>2.15443401345635</c:v>
                </c:pt>
                <c:pt idx="20">
                  <c:v>2.2163882433636499</c:v>
                </c:pt>
                <c:pt idx="21">
                  <c:v>2.1740528765475502</c:v>
                </c:pt>
                <c:pt idx="22">
                  <c:v>2.1199672582445799</c:v>
                </c:pt>
                <c:pt idx="23">
                  <c:v>2.0533740632278801</c:v>
                </c:pt>
                <c:pt idx="24">
                  <c:v>2.1042662543194499</c:v>
                </c:pt>
                <c:pt idx="25">
                  <c:v>2.0690438276652001</c:v>
                </c:pt>
                <c:pt idx="26">
                  <c:v>1.96182675031497</c:v>
                </c:pt>
                <c:pt idx="27">
                  <c:v>1.94046018444505</c:v>
                </c:pt>
                <c:pt idx="28">
                  <c:v>1.9111578664867599</c:v>
                </c:pt>
                <c:pt idx="29">
                  <c:v>1.9016483347694499</c:v>
                </c:pt>
                <c:pt idx="30">
                  <c:v>1.94833320985763</c:v>
                </c:pt>
                <c:pt idx="31">
                  <c:v>2.0060515044761602</c:v>
                </c:pt>
                <c:pt idx="32">
                  <c:v>2.0667146059789401</c:v>
                </c:pt>
                <c:pt idx="33">
                  <c:v>2.03238900198938</c:v>
                </c:pt>
                <c:pt idx="34">
                  <c:v>1.9870311936294101</c:v>
                </c:pt>
                <c:pt idx="35">
                  <c:v>1.9295039235125899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EstimacionesCom!$D$56</c:f>
              <c:strCache>
                <c:ptCount val="1"/>
                <c:pt idx="0">
                  <c:v>Ene18-dic20</c:v>
                </c:pt>
              </c:strCache>
            </c:strRef>
          </c:tx>
          <c:marker>
            <c:symbol val="none"/>
          </c:marker>
          <c:val>
            <c:numRef>
              <c:f>EstimacionesCom!$D$57:$D$92</c:f>
              <c:numCache>
                <c:formatCode>0.00</c:formatCode>
                <c:ptCount val="36"/>
                <c:pt idx="0">
                  <c:v>2.21491838176394</c:v>
                </c:pt>
                <c:pt idx="1">
                  <c:v>2.2373235943327301</c:v>
                </c:pt>
                <c:pt idx="2">
                  <c:v>2.2199882090379699</c:v>
                </c:pt>
                <c:pt idx="3">
                  <c:v>2.2071976343905502</c:v>
                </c:pt>
                <c:pt idx="4">
                  <c:v>2.18918458626074</c:v>
                </c:pt>
                <c:pt idx="5">
                  <c:v>2.15813376183976</c:v>
                </c:pt>
                <c:pt idx="6">
                  <c:v>2.1967937986267501</c:v>
                </c:pt>
                <c:pt idx="7">
                  <c:v>2.2373734849662901</c:v>
                </c:pt>
                <c:pt idx="8">
                  <c:v>2.3008184874927502</c:v>
                </c:pt>
                <c:pt idx="9">
                  <c:v>2.3086234935036698</c:v>
                </c:pt>
                <c:pt idx="10">
                  <c:v>2.2936222358585598</c:v>
                </c:pt>
                <c:pt idx="11">
                  <c:v>2.2190032623146698</c:v>
                </c:pt>
                <c:pt idx="12">
                  <c:v>2.24415020549859</c:v>
                </c:pt>
                <c:pt idx="13">
                  <c:v>2.2280501551815899</c:v>
                </c:pt>
                <c:pt idx="14">
                  <c:v>2.1439995624609902</c:v>
                </c:pt>
                <c:pt idx="15">
                  <c:v>2.1307949538056801</c:v>
                </c:pt>
                <c:pt idx="16">
                  <c:v>2.1125881133342901</c:v>
                </c:pt>
                <c:pt idx="17">
                  <c:v>2.08179145745616</c:v>
                </c:pt>
                <c:pt idx="18">
                  <c:v>2.1178547727560302</c:v>
                </c:pt>
                <c:pt idx="19">
                  <c:v>2.1556834553097</c:v>
                </c:pt>
                <c:pt idx="20">
                  <c:v>2.2154832935336399</c:v>
                </c:pt>
                <c:pt idx="21">
                  <c:v>2.2206529024380202</c:v>
                </c:pt>
                <c:pt idx="22">
                  <c:v>2.2038174924819698</c:v>
                </c:pt>
                <c:pt idx="23">
                  <c:v>2.12987014554278</c:v>
                </c:pt>
                <c:pt idx="24">
                  <c:v>2.1526872590262398</c:v>
                </c:pt>
                <c:pt idx="25">
                  <c:v>2.13593393066677</c:v>
                </c:pt>
                <c:pt idx="26">
                  <c:v>2.0542208629220098</c:v>
                </c:pt>
                <c:pt idx="27">
                  <c:v>2.0399378159291301</c:v>
                </c:pt>
                <c:pt idx="28">
                  <c:v>2.0209432873945201</c:v>
                </c:pt>
                <c:pt idx="29">
                  <c:v>1.98989125110582</c:v>
                </c:pt>
                <c:pt idx="30">
                  <c:v>2.02326660853804</c:v>
                </c:pt>
                <c:pt idx="31">
                  <c:v>2.0582537004211701</c:v>
                </c:pt>
                <c:pt idx="32">
                  <c:v>2.1141674105869499</c:v>
                </c:pt>
                <c:pt idx="33">
                  <c:v>2.1173610810069698</c:v>
                </c:pt>
                <c:pt idx="34">
                  <c:v>2.09952636013645</c:v>
                </c:pt>
                <c:pt idx="35">
                  <c:v>2.0274127888239399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592064"/>
        <c:axId val="123634816"/>
      </c:lineChart>
      <c:catAx>
        <c:axId val="123592064"/>
        <c:scaling>
          <c:orientation val="minMax"/>
        </c:scaling>
        <c:delete val="0"/>
        <c:axPos val="b"/>
        <c:majorTickMark val="out"/>
        <c:minorTickMark val="none"/>
        <c:tickLblPos val="nextTo"/>
        <c:crossAx val="123634816"/>
        <c:crosses val="autoZero"/>
        <c:auto val="1"/>
        <c:lblAlgn val="ctr"/>
        <c:lblOffset val="100"/>
        <c:noMultiLvlLbl val="0"/>
      </c:catAx>
      <c:valAx>
        <c:axId val="123634816"/>
        <c:scaling>
          <c:orientation val="minMax"/>
          <c:min val="1.5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3592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Escenario Base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EstimacionesHip!$K$5</c:f>
              <c:strCache>
                <c:ptCount val="1"/>
                <c:pt idx="0">
                  <c:v>Base Mean</c:v>
                </c:pt>
              </c:strCache>
            </c:strRef>
          </c:tx>
          <c:marker>
            <c:symbol val="none"/>
          </c:marker>
          <c:cat>
            <c:numRef>
              <c:f>EstimacionesHip!$J$6:$J$54</c:f>
              <c:numCache>
                <c:formatCode>m/d/yyyy</c:formatCode>
                <c:ptCount val="49"/>
                <c:pt idx="0">
                  <c:v>42705</c:v>
                </c:pt>
                <c:pt idx="1">
                  <c:v>42736</c:v>
                </c:pt>
                <c:pt idx="2">
                  <c:v>42767</c:v>
                </c:pt>
                <c:pt idx="3">
                  <c:v>42795</c:v>
                </c:pt>
                <c:pt idx="4">
                  <c:v>42826</c:v>
                </c:pt>
                <c:pt idx="5">
                  <c:v>42856</c:v>
                </c:pt>
                <c:pt idx="6">
                  <c:v>42887</c:v>
                </c:pt>
                <c:pt idx="7">
                  <c:v>42917</c:v>
                </c:pt>
                <c:pt idx="8">
                  <c:v>42948</c:v>
                </c:pt>
                <c:pt idx="9">
                  <c:v>42979</c:v>
                </c:pt>
                <c:pt idx="10">
                  <c:v>43009</c:v>
                </c:pt>
                <c:pt idx="11">
                  <c:v>43040</c:v>
                </c:pt>
                <c:pt idx="12">
                  <c:v>43070</c:v>
                </c:pt>
                <c:pt idx="13">
                  <c:v>43101</c:v>
                </c:pt>
                <c:pt idx="14">
                  <c:v>43132</c:v>
                </c:pt>
                <c:pt idx="15">
                  <c:v>43160</c:v>
                </c:pt>
                <c:pt idx="16">
                  <c:v>43191</c:v>
                </c:pt>
                <c:pt idx="17">
                  <c:v>43221</c:v>
                </c:pt>
                <c:pt idx="18">
                  <c:v>43252</c:v>
                </c:pt>
                <c:pt idx="19">
                  <c:v>43282</c:v>
                </c:pt>
                <c:pt idx="20">
                  <c:v>43313</c:v>
                </c:pt>
                <c:pt idx="21">
                  <c:v>43344</c:v>
                </c:pt>
                <c:pt idx="22">
                  <c:v>43374</c:v>
                </c:pt>
                <c:pt idx="23">
                  <c:v>43405</c:v>
                </c:pt>
                <c:pt idx="24">
                  <c:v>43435</c:v>
                </c:pt>
                <c:pt idx="25">
                  <c:v>43466</c:v>
                </c:pt>
                <c:pt idx="26">
                  <c:v>43497</c:v>
                </c:pt>
                <c:pt idx="27">
                  <c:v>43525</c:v>
                </c:pt>
                <c:pt idx="28">
                  <c:v>43556</c:v>
                </c:pt>
                <c:pt idx="29">
                  <c:v>43586</c:v>
                </c:pt>
                <c:pt idx="30">
                  <c:v>43617</c:v>
                </c:pt>
                <c:pt idx="31">
                  <c:v>43647</c:v>
                </c:pt>
                <c:pt idx="32">
                  <c:v>43678</c:v>
                </c:pt>
                <c:pt idx="33">
                  <c:v>43709</c:v>
                </c:pt>
                <c:pt idx="34">
                  <c:v>43739</c:v>
                </c:pt>
                <c:pt idx="35">
                  <c:v>43770</c:v>
                </c:pt>
                <c:pt idx="36">
                  <c:v>43800</c:v>
                </c:pt>
                <c:pt idx="37">
                  <c:v>43831</c:v>
                </c:pt>
                <c:pt idx="38">
                  <c:v>43862</c:v>
                </c:pt>
                <c:pt idx="39">
                  <c:v>43891</c:v>
                </c:pt>
                <c:pt idx="40">
                  <c:v>43922</c:v>
                </c:pt>
                <c:pt idx="41">
                  <c:v>43952</c:v>
                </c:pt>
                <c:pt idx="42">
                  <c:v>43983</c:v>
                </c:pt>
                <c:pt idx="43">
                  <c:v>44013</c:v>
                </c:pt>
                <c:pt idx="44">
                  <c:v>44044</c:v>
                </c:pt>
                <c:pt idx="45">
                  <c:v>44075</c:v>
                </c:pt>
                <c:pt idx="46">
                  <c:v>44105</c:v>
                </c:pt>
                <c:pt idx="47">
                  <c:v>44136</c:v>
                </c:pt>
                <c:pt idx="48">
                  <c:v>44166</c:v>
                </c:pt>
              </c:numCache>
            </c:numRef>
          </c:cat>
          <c:val>
            <c:numRef>
              <c:f>EstimacionesHip!$K$6:$K$54</c:f>
              <c:numCache>
                <c:formatCode>0.00</c:formatCode>
                <c:ptCount val="49"/>
                <c:pt idx="0">
                  <c:v>0.90377002761205205</c:v>
                </c:pt>
                <c:pt idx="1">
                  <c:v>0.93155113943964696</c:v>
                </c:pt>
                <c:pt idx="2">
                  <c:v>0.94999943228288797</c:v>
                </c:pt>
                <c:pt idx="3">
                  <c:v>0.93800001068219097</c:v>
                </c:pt>
                <c:pt idx="4">
                  <c:v>1.0170067163154499</c:v>
                </c:pt>
                <c:pt idx="5">
                  <c:v>0.96611889507414705</c:v>
                </c:pt>
                <c:pt idx="6">
                  <c:v>0.96424341215679499</c:v>
                </c:pt>
                <c:pt idx="7">
                  <c:v>0.97919185599448599</c:v>
                </c:pt>
                <c:pt idx="8">
                  <c:v>0.98497858296406604</c:v>
                </c:pt>
                <c:pt idx="9">
                  <c:v>0.95534670873966099</c:v>
                </c:pt>
                <c:pt idx="10">
                  <c:v>0.98373239368980103</c:v>
                </c:pt>
                <c:pt idx="11">
                  <c:v>0.98275457577251801</c:v>
                </c:pt>
                <c:pt idx="12">
                  <c:v>0.93801628723429098</c:v>
                </c:pt>
                <c:pt idx="13">
                  <c:v>0.932631279554753</c:v>
                </c:pt>
                <c:pt idx="14">
                  <c:v>0.96093338425340502</c:v>
                </c:pt>
                <c:pt idx="15">
                  <c:v>0.93828197374893096</c:v>
                </c:pt>
                <c:pt idx="16">
                  <c:v>0.95971659964487699</c:v>
                </c:pt>
                <c:pt idx="17">
                  <c:v>0.950524225598676</c:v>
                </c:pt>
                <c:pt idx="18">
                  <c:v>0.95398339794155196</c:v>
                </c:pt>
                <c:pt idx="19">
                  <c:v>0.96393487960429802</c:v>
                </c:pt>
                <c:pt idx="20">
                  <c:v>0.94093792808773502</c:v>
                </c:pt>
                <c:pt idx="21">
                  <c:v>0.91830172456110304</c:v>
                </c:pt>
                <c:pt idx="22">
                  <c:v>0.91055543487853297</c:v>
                </c:pt>
                <c:pt idx="23">
                  <c:v>0.85184413944450699</c:v>
                </c:pt>
                <c:pt idx="24">
                  <c:v>0.82303034103086703</c:v>
                </c:pt>
                <c:pt idx="25">
                  <c:v>0.805108523482155</c:v>
                </c:pt>
                <c:pt idx="26">
                  <c:v>0.74743815708629802</c:v>
                </c:pt>
                <c:pt idx="27">
                  <c:v>0.73591601655907102</c:v>
                </c:pt>
                <c:pt idx="28">
                  <c:v>0.74385050801892405</c:v>
                </c:pt>
                <c:pt idx="29">
                  <c:v>0.73312414547836302</c:v>
                </c:pt>
                <c:pt idx="30">
                  <c:v>0.73207551506526103</c:v>
                </c:pt>
                <c:pt idx="31">
                  <c:v>0.73559452049570495</c:v>
                </c:pt>
                <c:pt idx="32">
                  <c:v>0.71391528585682595</c:v>
                </c:pt>
                <c:pt idx="33">
                  <c:v>0.69273323169910594</c:v>
                </c:pt>
                <c:pt idx="34">
                  <c:v>0.68244199593189903</c:v>
                </c:pt>
                <c:pt idx="35">
                  <c:v>0.63416779380702104</c:v>
                </c:pt>
                <c:pt idx="36">
                  <c:v>0.60874950344277701</c:v>
                </c:pt>
                <c:pt idx="37">
                  <c:v>0.59106901192135197</c:v>
                </c:pt>
                <c:pt idx="38">
                  <c:v>0.54465315566926198</c:v>
                </c:pt>
                <c:pt idx="39">
                  <c:v>0.53265677965468805</c:v>
                </c:pt>
                <c:pt idx="40">
                  <c:v>0.53346784443184003</c:v>
                </c:pt>
                <c:pt idx="41">
                  <c:v>0.52111360070208901</c:v>
                </c:pt>
                <c:pt idx="42">
                  <c:v>0.51560146823849395</c:v>
                </c:pt>
                <c:pt idx="43">
                  <c:v>0.51456683015961202</c:v>
                </c:pt>
                <c:pt idx="44">
                  <c:v>0.49590275661537703</c:v>
                </c:pt>
                <c:pt idx="45">
                  <c:v>0.47781788669999198</c:v>
                </c:pt>
                <c:pt idx="46">
                  <c:v>0.46712735386990401</c:v>
                </c:pt>
                <c:pt idx="47">
                  <c:v>0.43066146843222902</c:v>
                </c:pt>
                <c:pt idx="48">
                  <c:v>0.41024531294397498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EstimacionesHip!$L$5</c:f>
              <c:strCache>
                <c:ptCount val="1"/>
                <c:pt idx="0">
                  <c:v>Base High</c:v>
                </c:pt>
              </c:strCache>
            </c:strRef>
          </c:tx>
          <c:marker>
            <c:symbol val="none"/>
          </c:marker>
          <c:cat>
            <c:numRef>
              <c:f>EstimacionesHip!$J$6:$J$54</c:f>
              <c:numCache>
                <c:formatCode>m/d/yyyy</c:formatCode>
                <c:ptCount val="49"/>
                <c:pt idx="0">
                  <c:v>42705</c:v>
                </c:pt>
                <c:pt idx="1">
                  <c:v>42736</c:v>
                </c:pt>
                <c:pt idx="2">
                  <c:v>42767</c:v>
                </c:pt>
                <c:pt idx="3">
                  <c:v>42795</c:v>
                </c:pt>
                <c:pt idx="4">
                  <c:v>42826</c:v>
                </c:pt>
                <c:pt idx="5">
                  <c:v>42856</c:v>
                </c:pt>
                <c:pt idx="6">
                  <c:v>42887</c:v>
                </c:pt>
                <c:pt idx="7">
                  <c:v>42917</c:v>
                </c:pt>
                <c:pt idx="8">
                  <c:v>42948</c:v>
                </c:pt>
                <c:pt idx="9">
                  <c:v>42979</c:v>
                </c:pt>
                <c:pt idx="10">
                  <c:v>43009</c:v>
                </c:pt>
                <c:pt idx="11">
                  <c:v>43040</c:v>
                </c:pt>
                <c:pt idx="12">
                  <c:v>43070</c:v>
                </c:pt>
                <c:pt idx="13">
                  <c:v>43101</c:v>
                </c:pt>
                <c:pt idx="14">
                  <c:v>43132</c:v>
                </c:pt>
                <c:pt idx="15">
                  <c:v>43160</c:v>
                </c:pt>
                <c:pt idx="16">
                  <c:v>43191</c:v>
                </c:pt>
                <c:pt idx="17">
                  <c:v>43221</c:v>
                </c:pt>
                <c:pt idx="18">
                  <c:v>43252</c:v>
                </c:pt>
                <c:pt idx="19">
                  <c:v>43282</c:v>
                </c:pt>
                <c:pt idx="20">
                  <c:v>43313</c:v>
                </c:pt>
                <c:pt idx="21">
                  <c:v>43344</c:v>
                </c:pt>
                <c:pt idx="22">
                  <c:v>43374</c:v>
                </c:pt>
                <c:pt idx="23">
                  <c:v>43405</c:v>
                </c:pt>
                <c:pt idx="24">
                  <c:v>43435</c:v>
                </c:pt>
                <c:pt idx="25">
                  <c:v>43466</c:v>
                </c:pt>
                <c:pt idx="26">
                  <c:v>43497</c:v>
                </c:pt>
                <c:pt idx="27">
                  <c:v>43525</c:v>
                </c:pt>
                <c:pt idx="28">
                  <c:v>43556</c:v>
                </c:pt>
                <c:pt idx="29">
                  <c:v>43586</c:v>
                </c:pt>
                <c:pt idx="30">
                  <c:v>43617</c:v>
                </c:pt>
                <c:pt idx="31">
                  <c:v>43647</c:v>
                </c:pt>
                <c:pt idx="32">
                  <c:v>43678</c:v>
                </c:pt>
                <c:pt idx="33">
                  <c:v>43709</c:v>
                </c:pt>
                <c:pt idx="34">
                  <c:v>43739</c:v>
                </c:pt>
                <c:pt idx="35">
                  <c:v>43770</c:v>
                </c:pt>
                <c:pt idx="36">
                  <c:v>43800</c:v>
                </c:pt>
                <c:pt idx="37">
                  <c:v>43831</c:v>
                </c:pt>
                <c:pt idx="38">
                  <c:v>43862</c:v>
                </c:pt>
                <c:pt idx="39">
                  <c:v>43891</c:v>
                </c:pt>
                <c:pt idx="40">
                  <c:v>43922</c:v>
                </c:pt>
                <c:pt idx="41">
                  <c:v>43952</c:v>
                </c:pt>
                <c:pt idx="42">
                  <c:v>43983</c:v>
                </c:pt>
                <c:pt idx="43">
                  <c:v>44013</c:v>
                </c:pt>
                <c:pt idx="44">
                  <c:v>44044</c:v>
                </c:pt>
                <c:pt idx="45">
                  <c:v>44075</c:v>
                </c:pt>
                <c:pt idx="46">
                  <c:v>44105</c:v>
                </c:pt>
                <c:pt idx="47">
                  <c:v>44136</c:v>
                </c:pt>
                <c:pt idx="48">
                  <c:v>44166</c:v>
                </c:pt>
              </c:numCache>
            </c:numRef>
          </c:cat>
          <c:val>
            <c:numRef>
              <c:f>EstimacionesHip!$L$6:$L$54</c:f>
              <c:numCache>
                <c:formatCode>0.00</c:formatCode>
                <c:ptCount val="49"/>
                <c:pt idx="0">
                  <c:v>0.90413791751940598</c:v>
                </c:pt>
                <c:pt idx="1">
                  <c:v>0.93193033786583901</c:v>
                </c:pt>
                <c:pt idx="2">
                  <c:v>0.95038614026969304</c:v>
                </c:pt>
                <c:pt idx="3">
                  <c:v>0.93838183421110699</c:v>
                </c:pt>
                <c:pt idx="4">
                  <c:v>1.01742070050781</c:v>
                </c:pt>
                <c:pt idx="5">
                  <c:v>0.96651216476302504</c:v>
                </c:pt>
                <c:pt idx="6">
                  <c:v>0.96463591848667896</c:v>
                </c:pt>
                <c:pt idx="7">
                  <c:v>0.97959044724198896</c:v>
                </c:pt>
                <c:pt idx="8">
                  <c:v>0.98537952970546305</c:v>
                </c:pt>
                <c:pt idx="9">
                  <c:v>0.95573559365891103</c:v>
                </c:pt>
                <c:pt idx="10">
                  <c:v>0.98413283324519196</c:v>
                </c:pt>
                <c:pt idx="11">
                  <c:v>0.98315461733285703</c:v>
                </c:pt>
                <c:pt idx="12">
                  <c:v>0.93839811748576296</c:v>
                </c:pt>
                <c:pt idx="13">
                  <c:v>0.93301091801776803</c:v>
                </c:pt>
                <c:pt idx="14">
                  <c:v>0.96132454306271098</c:v>
                </c:pt>
                <c:pt idx="15">
                  <c:v>0.93866391348066003</c:v>
                </c:pt>
                <c:pt idx="16">
                  <c:v>1.11554575100973</c:v>
                </c:pt>
                <c:pt idx="17">
                  <c:v>1.1753788515938399</c:v>
                </c:pt>
                <c:pt idx="18">
                  <c:v>1.23911311268689</c:v>
                </c:pt>
                <c:pt idx="19">
                  <c:v>1.3032328645728299</c:v>
                </c:pt>
                <c:pt idx="20">
                  <c:v>1.31898609614161</c:v>
                </c:pt>
                <c:pt idx="21">
                  <c:v>1.32847203620166</c:v>
                </c:pt>
                <c:pt idx="22">
                  <c:v>1.3553001062707799</c:v>
                </c:pt>
                <c:pt idx="23">
                  <c:v>1.3039212216959</c:v>
                </c:pt>
                <c:pt idx="24">
                  <c:v>1.29255148708124</c:v>
                </c:pt>
                <c:pt idx="25">
                  <c:v>1.29612520775032</c:v>
                </c:pt>
                <c:pt idx="26">
                  <c:v>1.2333322172090899</c:v>
                </c:pt>
                <c:pt idx="27">
                  <c:v>1.2419928487585601</c:v>
                </c:pt>
                <c:pt idx="28">
                  <c:v>1.29215346509877</c:v>
                </c:pt>
                <c:pt idx="29">
                  <c:v>1.3111943988797099</c:v>
                </c:pt>
                <c:pt idx="30">
                  <c:v>1.3426095136227101</c:v>
                </c:pt>
                <c:pt idx="31">
                  <c:v>1.38484474572267</c:v>
                </c:pt>
                <c:pt idx="32">
                  <c:v>1.37744353813265</c:v>
                </c:pt>
                <c:pt idx="33">
                  <c:v>1.37186914850924</c:v>
                </c:pt>
                <c:pt idx="34">
                  <c:v>1.38545257510526</c:v>
                </c:pt>
                <c:pt idx="35">
                  <c:v>1.32498165024454</c:v>
                </c:pt>
                <c:pt idx="36">
                  <c:v>1.3046625118324799</c:v>
                </c:pt>
                <c:pt idx="37">
                  <c:v>1.2970557582812301</c:v>
                </c:pt>
                <c:pt idx="38">
                  <c:v>1.22883752021772</c:v>
                </c:pt>
                <c:pt idx="39">
                  <c:v>1.2308428755387399</c:v>
                </c:pt>
                <c:pt idx="40">
                  <c:v>1.2662128037405</c:v>
                </c:pt>
                <c:pt idx="41">
                  <c:v>1.2746984244439099</c:v>
                </c:pt>
                <c:pt idx="42">
                  <c:v>1.2907293908358</c:v>
                </c:pt>
                <c:pt idx="43">
                  <c:v>1.32291365426746</c:v>
                </c:pt>
                <c:pt idx="44">
                  <c:v>1.30599041362698</c:v>
                </c:pt>
                <c:pt idx="45">
                  <c:v>1.2955567011370801</c:v>
                </c:pt>
                <c:pt idx="46">
                  <c:v>1.30316911451822</c:v>
                </c:pt>
                <c:pt idx="47">
                  <c:v>1.24531450799038</c:v>
                </c:pt>
                <c:pt idx="48">
                  <c:v>1.2244076388499301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EstimacionesHip!$M$5</c:f>
              <c:strCache>
                <c:ptCount val="1"/>
                <c:pt idx="0">
                  <c:v>BasePromedio</c:v>
                </c:pt>
              </c:strCache>
            </c:strRef>
          </c:tx>
          <c:marker>
            <c:symbol val="none"/>
          </c:marker>
          <c:cat>
            <c:numRef>
              <c:f>EstimacionesHip!$J$6:$J$54</c:f>
              <c:numCache>
                <c:formatCode>m/d/yyyy</c:formatCode>
                <c:ptCount val="49"/>
                <c:pt idx="0">
                  <c:v>42705</c:v>
                </c:pt>
                <c:pt idx="1">
                  <c:v>42736</c:v>
                </c:pt>
                <c:pt idx="2">
                  <c:v>42767</c:v>
                </c:pt>
                <c:pt idx="3">
                  <c:v>42795</c:v>
                </c:pt>
                <c:pt idx="4">
                  <c:v>42826</c:v>
                </c:pt>
                <c:pt idx="5">
                  <c:v>42856</c:v>
                </c:pt>
                <c:pt idx="6">
                  <c:v>42887</c:v>
                </c:pt>
                <c:pt idx="7">
                  <c:v>42917</c:v>
                </c:pt>
                <c:pt idx="8">
                  <c:v>42948</c:v>
                </c:pt>
                <c:pt idx="9">
                  <c:v>42979</c:v>
                </c:pt>
                <c:pt idx="10">
                  <c:v>43009</c:v>
                </c:pt>
                <c:pt idx="11">
                  <c:v>43040</c:v>
                </c:pt>
                <c:pt idx="12">
                  <c:v>43070</c:v>
                </c:pt>
                <c:pt idx="13">
                  <c:v>43101</c:v>
                </c:pt>
                <c:pt idx="14">
                  <c:v>43132</c:v>
                </c:pt>
                <c:pt idx="15">
                  <c:v>43160</c:v>
                </c:pt>
                <c:pt idx="16">
                  <c:v>43191</c:v>
                </c:pt>
                <c:pt idx="17">
                  <c:v>43221</c:v>
                </c:pt>
                <c:pt idx="18">
                  <c:v>43252</c:v>
                </c:pt>
                <c:pt idx="19">
                  <c:v>43282</c:v>
                </c:pt>
                <c:pt idx="20">
                  <c:v>43313</c:v>
                </c:pt>
                <c:pt idx="21">
                  <c:v>43344</c:v>
                </c:pt>
                <c:pt idx="22">
                  <c:v>43374</c:v>
                </c:pt>
                <c:pt idx="23">
                  <c:v>43405</c:v>
                </c:pt>
                <c:pt idx="24">
                  <c:v>43435</c:v>
                </c:pt>
                <c:pt idx="25">
                  <c:v>43466</c:v>
                </c:pt>
                <c:pt idx="26">
                  <c:v>43497</c:v>
                </c:pt>
                <c:pt idx="27">
                  <c:v>43525</c:v>
                </c:pt>
                <c:pt idx="28">
                  <c:v>43556</c:v>
                </c:pt>
                <c:pt idx="29">
                  <c:v>43586</c:v>
                </c:pt>
                <c:pt idx="30">
                  <c:v>43617</c:v>
                </c:pt>
                <c:pt idx="31">
                  <c:v>43647</c:v>
                </c:pt>
                <c:pt idx="32">
                  <c:v>43678</c:v>
                </c:pt>
                <c:pt idx="33">
                  <c:v>43709</c:v>
                </c:pt>
                <c:pt idx="34">
                  <c:v>43739</c:v>
                </c:pt>
                <c:pt idx="35">
                  <c:v>43770</c:v>
                </c:pt>
                <c:pt idx="36">
                  <c:v>43800</c:v>
                </c:pt>
                <c:pt idx="37">
                  <c:v>43831</c:v>
                </c:pt>
                <c:pt idx="38">
                  <c:v>43862</c:v>
                </c:pt>
                <c:pt idx="39">
                  <c:v>43891</c:v>
                </c:pt>
                <c:pt idx="40">
                  <c:v>43922</c:v>
                </c:pt>
                <c:pt idx="41">
                  <c:v>43952</c:v>
                </c:pt>
                <c:pt idx="42">
                  <c:v>43983</c:v>
                </c:pt>
                <c:pt idx="43">
                  <c:v>44013</c:v>
                </c:pt>
                <c:pt idx="44">
                  <c:v>44044</c:v>
                </c:pt>
                <c:pt idx="45">
                  <c:v>44075</c:v>
                </c:pt>
                <c:pt idx="46">
                  <c:v>44105</c:v>
                </c:pt>
                <c:pt idx="47">
                  <c:v>44136</c:v>
                </c:pt>
                <c:pt idx="48">
                  <c:v>44166</c:v>
                </c:pt>
              </c:numCache>
            </c:numRef>
          </c:cat>
          <c:val>
            <c:numRef>
              <c:f>EstimacionesHip!$M$6:$M$54</c:f>
              <c:numCache>
                <c:formatCode>0.00</c:formatCode>
                <c:ptCount val="49"/>
                <c:pt idx="0">
                  <c:v>0.90395397256572907</c:v>
                </c:pt>
                <c:pt idx="1">
                  <c:v>0.93174073865274298</c:v>
                </c:pt>
                <c:pt idx="2">
                  <c:v>0.95019278627629045</c:v>
                </c:pt>
                <c:pt idx="3">
                  <c:v>0.93819092244664892</c:v>
                </c:pt>
                <c:pt idx="4">
                  <c:v>1.0172137084116299</c:v>
                </c:pt>
                <c:pt idx="5">
                  <c:v>0.96631552991858605</c:v>
                </c:pt>
                <c:pt idx="6">
                  <c:v>0.96443966532173697</c:v>
                </c:pt>
                <c:pt idx="7">
                  <c:v>0.97939115161823742</c:v>
                </c:pt>
                <c:pt idx="8">
                  <c:v>0.98517905633476455</c:v>
                </c:pt>
                <c:pt idx="9">
                  <c:v>0.95554115119928595</c:v>
                </c:pt>
                <c:pt idx="10">
                  <c:v>0.9839326134674965</c:v>
                </c:pt>
                <c:pt idx="11">
                  <c:v>0.98295459655268758</c:v>
                </c:pt>
                <c:pt idx="12">
                  <c:v>0.93820720236002697</c:v>
                </c:pt>
                <c:pt idx="13">
                  <c:v>0.93282109878626052</c:v>
                </c:pt>
                <c:pt idx="14">
                  <c:v>0.961128963658058</c:v>
                </c:pt>
                <c:pt idx="15">
                  <c:v>0.9384729436147955</c:v>
                </c:pt>
                <c:pt idx="16">
                  <c:v>1.0376311753273035</c:v>
                </c:pt>
                <c:pt idx="17">
                  <c:v>1.062951538596258</c:v>
                </c:pt>
                <c:pt idx="18">
                  <c:v>1.096548255314221</c:v>
                </c:pt>
                <c:pt idx="19">
                  <c:v>1.133583872088564</c:v>
                </c:pt>
                <c:pt idx="20">
                  <c:v>1.1299620121146725</c:v>
                </c:pt>
                <c:pt idx="21">
                  <c:v>1.1233868803813816</c:v>
                </c:pt>
                <c:pt idx="22">
                  <c:v>1.1329277705746565</c:v>
                </c:pt>
                <c:pt idx="23">
                  <c:v>1.0778826805702035</c:v>
                </c:pt>
                <c:pt idx="24">
                  <c:v>1.0577909140560535</c:v>
                </c:pt>
                <c:pt idx="25">
                  <c:v>1.0506168656162376</c:v>
                </c:pt>
                <c:pt idx="26">
                  <c:v>0.99038518714769397</c:v>
                </c:pt>
                <c:pt idx="27">
                  <c:v>0.98895443265881555</c:v>
                </c:pt>
                <c:pt idx="28">
                  <c:v>1.018001986558847</c:v>
                </c:pt>
                <c:pt idx="29">
                  <c:v>1.0221592721790365</c:v>
                </c:pt>
                <c:pt idx="30">
                  <c:v>1.0373425143439856</c:v>
                </c:pt>
                <c:pt idx="31">
                  <c:v>1.0602196331091875</c:v>
                </c:pt>
                <c:pt idx="32">
                  <c:v>1.0456794119947379</c:v>
                </c:pt>
                <c:pt idx="33">
                  <c:v>1.032301190104173</c:v>
                </c:pt>
                <c:pt idx="34">
                  <c:v>1.0339472855185794</c:v>
                </c:pt>
                <c:pt idx="35">
                  <c:v>0.97957472202578044</c:v>
                </c:pt>
                <c:pt idx="36">
                  <c:v>0.95670600763762847</c:v>
                </c:pt>
                <c:pt idx="37">
                  <c:v>0.94406238510129104</c:v>
                </c:pt>
                <c:pt idx="38">
                  <c:v>0.88674533794349097</c:v>
                </c:pt>
                <c:pt idx="39">
                  <c:v>0.88174982759671394</c:v>
                </c:pt>
                <c:pt idx="40">
                  <c:v>0.8998403240861701</c:v>
                </c:pt>
                <c:pt idx="41">
                  <c:v>0.8979060125729994</c:v>
                </c:pt>
                <c:pt idx="42">
                  <c:v>0.90316542953714696</c:v>
                </c:pt>
                <c:pt idx="43">
                  <c:v>0.91874024221353601</c:v>
                </c:pt>
                <c:pt idx="44">
                  <c:v>0.90094658512117853</c:v>
                </c:pt>
                <c:pt idx="45">
                  <c:v>0.88668729391853607</c:v>
                </c:pt>
                <c:pt idx="46">
                  <c:v>0.88514823419406197</c:v>
                </c:pt>
                <c:pt idx="47">
                  <c:v>0.83798798821130449</c:v>
                </c:pt>
                <c:pt idx="48">
                  <c:v>0.81732647589695251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784192"/>
        <c:axId val="123785984"/>
      </c:lineChart>
      <c:dateAx>
        <c:axId val="123784192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crossAx val="123785984"/>
        <c:crosses val="autoZero"/>
        <c:auto val="1"/>
        <c:lblOffset val="100"/>
        <c:baseTimeUnit val="months"/>
      </c:dateAx>
      <c:valAx>
        <c:axId val="123785984"/>
        <c:scaling>
          <c:orientation val="minMax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crossAx val="123784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Escenario Adverso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EstimacionesHip!$O$5</c:f>
              <c:strCache>
                <c:ptCount val="1"/>
                <c:pt idx="0">
                  <c:v>AdversoMean</c:v>
                </c:pt>
              </c:strCache>
            </c:strRef>
          </c:tx>
          <c:marker>
            <c:symbol val="none"/>
          </c:marker>
          <c:cat>
            <c:numRef>
              <c:f>EstimacionesHip!$J$6:$J$54</c:f>
              <c:numCache>
                <c:formatCode>m/d/yyyy</c:formatCode>
                <c:ptCount val="49"/>
                <c:pt idx="0">
                  <c:v>42705</c:v>
                </c:pt>
                <c:pt idx="1">
                  <c:v>42736</c:v>
                </c:pt>
                <c:pt idx="2">
                  <c:v>42767</c:v>
                </c:pt>
                <c:pt idx="3">
                  <c:v>42795</c:v>
                </c:pt>
                <c:pt idx="4">
                  <c:v>42826</c:v>
                </c:pt>
                <c:pt idx="5">
                  <c:v>42856</c:v>
                </c:pt>
                <c:pt idx="6">
                  <c:v>42887</c:v>
                </c:pt>
                <c:pt idx="7">
                  <c:v>42917</c:v>
                </c:pt>
                <c:pt idx="8">
                  <c:v>42948</c:v>
                </c:pt>
                <c:pt idx="9">
                  <c:v>42979</c:v>
                </c:pt>
                <c:pt idx="10">
                  <c:v>43009</c:v>
                </c:pt>
                <c:pt idx="11">
                  <c:v>43040</c:v>
                </c:pt>
                <c:pt idx="12">
                  <c:v>43070</c:v>
                </c:pt>
                <c:pt idx="13">
                  <c:v>43101</c:v>
                </c:pt>
                <c:pt idx="14">
                  <c:v>43132</c:v>
                </c:pt>
                <c:pt idx="15">
                  <c:v>43160</c:v>
                </c:pt>
                <c:pt idx="16">
                  <c:v>43191</c:v>
                </c:pt>
                <c:pt idx="17">
                  <c:v>43221</c:v>
                </c:pt>
                <c:pt idx="18">
                  <c:v>43252</c:v>
                </c:pt>
                <c:pt idx="19">
                  <c:v>43282</c:v>
                </c:pt>
                <c:pt idx="20">
                  <c:v>43313</c:v>
                </c:pt>
                <c:pt idx="21">
                  <c:v>43344</c:v>
                </c:pt>
                <c:pt idx="22">
                  <c:v>43374</c:v>
                </c:pt>
                <c:pt idx="23">
                  <c:v>43405</c:v>
                </c:pt>
                <c:pt idx="24">
                  <c:v>43435</c:v>
                </c:pt>
                <c:pt idx="25">
                  <c:v>43466</c:v>
                </c:pt>
                <c:pt idx="26">
                  <c:v>43497</c:v>
                </c:pt>
                <c:pt idx="27">
                  <c:v>43525</c:v>
                </c:pt>
                <c:pt idx="28">
                  <c:v>43556</c:v>
                </c:pt>
                <c:pt idx="29">
                  <c:v>43586</c:v>
                </c:pt>
                <c:pt idx="30">
                  <c:v>43617</c:v>
                </c:pt>
                <c:pt idx="31">
                  <c:v>43647</c:v>
                </c:pt>
                <c:pt idx="32">
                  <c:v>43678</c:v>
                </c:pt>
                <c:pt idx="33">
                  <c:v>43709</c:v>
                </c:pt>
                <c:pt idx="34">
                  <c:v>43739</c:v>
                </c:pt>
                <c:pt idx="35">
                  <c:v>43770</c:v>
                </c:pt>
                <c:pt idx="36">
                  <c:v>43800</c:v>
                </c:pt>
                <c:pt idx="37">
                  <c:v>43831</c:v>
                </c:pt>
                <c:pt idx="38">
                  <c:v>43862</c:v>
                </c:pt>
                <c:pt idx="39">
                  <c:v>43891</c:v>
                </c:pt>
                <c:pt idx="40">
                  <c:v>43922</c:v>
                </c:pt>
                <c:pt idx="41">
                  <c:v>43952</c:v>
                </c:pt>
                <c:pt idx="42">
                  <c:v>43983</c:v>
                </c:pt>
                <c:pt idx="43">
                  <c:v>44013</c:v>
                </c:pt>
                <c:pt idx="44">
                  <c:v>44044</c:v>
                </c:pt>
                <c:pt idx="45">
                  <c:v>44075</c:v>
                </c:pt>
                <c:pt idx="46">
                  <c:v>44105</c:v>
                </c:pt>
                <c:pt idx="47">
                  <c:v>44136</c:v>
                </c:pt>
                <c:pt idx="48">
                  <c:v>44166</c:v>
                </c:pt>
              </c:numCache>
            </c:numRef>
          </c:cat>
          <c:val>
            <c:numRef>
              <c:f>EstimacionesHip!$O$6:$O$54</c:f>
              <c:numCache>
                <c:formatCode>0.00</c:formatCode>
                <c:ptCount val="49"/>
                <c:pt idx="0">
                  <c:v>0.90377002761205205</c:v>
                </c:pt>
                <c:pt idx="1">
                  <c:v>0.93155113943964696</c:v>
                </c:pt>
                <c:pt idx="2">
                  <c:v>0.94999943228288797</c:v>
                </c:pt>
                <c:pt idx="3">
                  <c:v>0.93800001068219097</c:v>
                </c:pt>
                <c:pt idx="4">
                  <c:v>1.0170067163154499</c:v>
                </c:pt>
                <c:pt idx="5">
                  <c:v>0.96611889507414705</c:v>
                </c:pt>
                <c:pt idx="6">
                  <c:v>0.96424341215679499</c:v>
                </c:pt>
                <c:pt idx="7">
                  <c:v>0.97919185599448599</c:v>
                </c:pt>
                <c:pt idx="8">
                  <c:v>0.98497858296406604</c:v>
                </c:pt>
                <c:pt idx="9">
                  <c:v>0.95534670873966099</c:v>
                </c:pt>
                <c:pt idx="10">
                  <c:v>0.98373239368980103</c:v>
                </c:pt>
                <c:pt idx="11">
                  <c:v>0.98275457577251801</c:v>
                </c:pt>
                <c:pt idx="12">
                  <c:v>0.93801628723429098</c:v>
                </c:pt>
                <c:pt idx="13">
                  <c:v>0.932631279554753</c:v>
                </c:pt>
                <c:pt idx="14">
                  <c:v>0.96093338425340502</c:v>
                </c:pt>
                <c:pt idx="15">
                  <c:v>0.93828197374893096</c:v>
                </c:pt>
                <c:pt idx="16">
                  <c:v>0.98032630678643995</c:v>
                </c:pt>
                <c:pt idx="17">
                  <c:v>0.991107641524963</c:v>
                </c:pt>
                <c:pt idx="18">
                  <c:v>1.0160757857242799</c:v>
                </c:pt>
                <c:pt idx="19">
                  <c:v>1.03791408192104</c:v>
                </c:pt>
                <c:pt idx="20">
                  <c:v>1.02461502915611</c:v>
                </c:pt>
                <c:pt idx="21">
                  <c:v>1.0112794569905199</c:v>
                </c:pt>
                <c:pt idx="22">
                  <c:v>1.0137160602837101</c:v>
                </c:pt>
                <c:pt idx="23">
                  <c:v>0.95907307461329305</c:v>
                </c:pt>
                <c:pt idx="24">
                  <c:v>0.93676694018715301</c:v>
                </c:pt>
                <c:pt idx="25">
                  <c:v>0.94616663521184996</c:v>
                </c:pt>
                <c:pt idx="26">
                  <c:v>0.90695547197603299</c:v>
                </c:pt>
                <c:pt idx="27">
                  <c:v>0.91916087909876898</c:v>
                </c:pt>
                <c:pt idx="28">
                  <c:v>0.95453167167548603</c:v>
                </c:pt>
                <c:pt idx="29">
                  <c:v>0.965705821940255</c:v>
                </c:pt>
                <c:pt idx="30">
                  <c:v>0.99075120786919801</c:v>
                </c:pt>
                <c:pt idx="31">
                  <c:v>1.01785364633288</c:v>
                </c:pt>
                <c:pt idx="32">
                  <c:v>1.0107713549798401</c:v>
                </c:pt>
                <c:pt idx="33">
                  <c:v>1.0035330042211601</c:v>
                </c:pt>
                <c:pt idx="34">
                  <c:v>1.0184001127773901</c:v>
                </c:pt>
                <c:pt idx="35">
                  <c:v>0.97582850794911302</c:v>
                </c:pt>
                <c:pt idx="36">
                  <c:v>0.96492819128975305</c:v>
                </c:pt>
                <c:pt idx="37">
                  <c:v>0.948210279742285</c:v>
                </c:pt>
                <c:pt idx="38">
                  <c:v>0.88429381161491705</c:v>
                </c:pt>
                <c:pt idx="39">
                  <c:v>0.87423846609178901</c:v>
                </c:pt>
                <c:pt idx="40">
                  <c:v>0.88629121903663899</c:v>
                </c:pt>
                <c:pt idx="41">
                  <c:v>0.87602368301634104</c:v>
                </c:pt>
                <c:pt idx="42">
                  <c:v>0.87737111450362903</c:v>
                </c:pt>
                <c:pt idx="43">
                  <c:v>0.88206115671964203</c:v>
                </c:pt>
                <c:pt idx="44">
                  <c:v>0.85653953489213797</c:v>
                </c:pt>
                <c:pt idx="45">
                  <c:v>0.831586202073197</c:v>
                </c:pt>
                <c:pt idx="46">
                  <c:v>0.82121575748171804</c:v>
                </c:pt>
                <c:pt idx="47">
                  <c:v>0.765034460329303</c:v>
                </c:pt>
                <c:pt idx="48">
                  <c:v>0.73614897578707905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EstimacionesHip!$P$5</c:f>
              <c:strCache>
                <c:ptCount val="1"/>
                <c:pt idx="0">
                  <c:v>Adverso High</c:v>
                </c:pt>
              </c:strCache>
            </c:strRef>
          </c:tx>
          <c:marker>
            <c:symbol val="none"/>
          </c:marker>
          <c:cat>
            <c:numRef>
              <c:f>EstimacionesHip!$J$6:$J$54</c:f>
              <c:numCache>
                <c:formatCode>m/d/yyyy</c:formatCode>
                <c:ptCount val="49"/>
                <c:pt idx="0">
                  <c:v>42705</c:v>
                </c:pt>
                <c:pt idx="1">
                  <c:v>42736</c:v>
                </c:pt>
                <c:pt idx="2">
                  <c:v>42767</c:v>
                </c:pt>
                <c:pt idx="3">
                  <c:v>42795</c:v>
                </c:pt>
                <c:pt idx="4">
                  <c:v>42826</c:v>
                </c:pt>
                <c:pt idx="5">
                  <c:v>42856</c:v>
                </c:pt>
                <c:pt idx="6">
                  <c:v>42887</c:v>
                </c:pt>
                <c:pt idx="7">
                  <c:v>42917</c:v>
                </c:pt>
                <c:pt idx="8">
                  <c:v>42948</c:v>
                </c:pt>
                <c:pt idx="9">
                  <c:v>42979</c:v>
                </c:pt>
                <c:pt idx="10">
                  <c:v>43009</c:v>
                </c:pt>
                <c:pt idx="11">
                  <c:v>43040</c:v>
                </c:pt>
                <c:pt idx="12">
                  <c:v>43070</c:v>
                </c:pt>
                <c:pt idx="13">
                  <c:v>43101</c:v>
                </c:pt>
                <c:pt idx="14">
                  <c:v>43132</c:v>
                </c:pt>
                <c:pt idx="15">
                  <c:v>43160</c:v>
                </c:pt>
                <c:pt idx="16">
                  <c:v>43191</c:v>
                </c:pt>
                <c:pt idx="17">
                  <c:v>43221</c:v>
                </c:pt>
                <c:pt idx="18">
                  <c:v>43252</c:v>
                </c:pt>
                <c:pt idx="19">
                  <c:v>43282</c:v>
                </c:pt>
                <c:pt idx="20">
                  <c:v>43313</c:v>
                </c:pt>
                <c:pt idx="21">
                  <c:v>43344</c:v>
                </c:pt>
                <c:pt idx="22">
                  <c:v>43374</c:v>
                </c:pt>
                <c:pt idx="23">
                  <c:v>43405</c:v>
                </c:pt>
                <c:pt idx="24">
                  <c:v>43435</c:v>
                </c:pt>
                <c:pt idx="25">
                  <c:v>43466</c:v>
                </c:pt>
                <c:pt idx="26">
                  <c:v>43497</c:v>
                </c:pt>
                <c:pt idx="27">
                  <c:v>43525</c:v>
                </c:pt>
                <c:pt idx="28">
                  <c:v>43556</c:v>
                </c:pt>
                <c:pt idx="29">
                  <c:v>43586</c:v>
                </c:pt>
                <c:pt idx="30">
                  <c:v>43617</c:v>
                </c:pt>
                <c:pt idx="31">
                  <c:v>43647</c:v>
                </c:pt>
                <c:pt idx="32">
                  <c:v>43678</c:v>
                </c:pt>
                <c:pt idx="33">
                  <c:v>43709</c:v>
                </c:pt>
                <c:pt idx="34">
                  <c:v>43739</c:v>
                </c:pt>
                <c:pt idx="35">
                  <c:v>43770</c:v>
                </c:pt>
                <c:pt idx="36">
                  <c:v>43800</c:v>
                </c:pt>
                <c:pt idx="37">
                  <c:v>43831</c:v>
                </c:pt>
                <c:pt idx="38">
                  <c:v>43862</c:v>
                </c:pt>
                <c:pt idx="39">
                  <c:v>43891</c:v>
                </c:pt>
                <c:pt idx="40">
                  <c:v>43922</c:v>
                </c:pt>
                <c:pt idx="41">
                  <c:v>43952</c:v>
                </c:pt>
                <c:pt idx="42">
                  <c:v>43983</c:v>
                </c:pt>
                <c:pt idx="43">
                  <c:v>44013</c:v>
                </c:pt>
                <c:pt idx="44">
                  <c:v>44044</c:v>
                </c:pt>
                <c:pt idx="45">
                  <c:v>44075</c:v>
                </c:pt>
                <c:pt idx="46">
                  <c:v>44105</c:v>
                </c:pt>
                <c:pt idx="47">
                  <c:v>44136</c:v>
                </c:pt>
                <c:pt idx="48">
                  <c:v>44166</c:v>
                </c:pt>
              </c:numCache>
            </c:numRef>
          </c:cat>
          <c:val>
            <c:numRef>
              <c:f>EstimacionesHip!$P$6:$P$54</c:f>
              <c:numCache>
                <c:formatCode>0.00</c:formatCode>
                <c:ptCount val="49"/>
                <c:pt idx="0">
                  <c:v>0.90413791751940598</c:v>
                </c:pt>
                <c:pt idx="1">
                  <c:v>0.93193033786583901</c:v>
                </c:pt>
                <c:pt idx="2">
                  <c:v>0.95038614026969304</c:v>
                </c:pt>
                <c:pt idx="3">
                  <c:v>0.93838183421110699</c:v>
                </c:pt>
                <c:pt idx="4">
                  <c:v>1.01742070050781</c:v>
                </c:pt>
                <c:pt idx="5">
                  <c:v>0.96651216476302504</c:v>
                </c:pt>
                <c:pt idx="6">
                  <c:v>0.96463591848667896</c:v>
                </c:pt>
                <c:pt idx="7">
                  <c:v>0.97959044724198896</c:v>
                </c:pt>
                <c:pt idx="8">
                  <c:v>0.98537952970546305</c:v>
                </c:pt>
                <c:pt idx="9">
                  <c:v>0.95573559365891103</c:v>
                </c:pt>
                <c:pt idx="10">
                  <c:v>0.98413283324519196</c:v>
                </c:pt>
                <c:pt idx="11">
                  <c:v>0.98315461733285703</c:v>
                </c:pt>
                <c:pt idx="12">
                  <c:v>0.93839811748576296</c:v>
                </c:pt>
                <c:pt idx="13">
                  <c:v>0.93301091801776803</c:v>
                </c:pt>
                <c:pt idx="14">
                  <c:v>0.96132454306271098</c:v>
                </c:pt>
                <c:pt idx="15">
                  <c:v>0.93866391348066003</c:v>
                </c:pt>
                <c:pt idx="16">
                  <c:v>1.14545436646764</c:v>
                </c:pt>
                <c:pt idx="17">
                  <c:v>1.23938854398876</c:v>
                </c:pt>
                <c:pt idx="18">
                  <c:v>1.35356166177127</c:v>
                </c:pt>
                <c:pt idx="19">
                  <c:v>1.4375632789402799</c:v>
                </c:pt>
                <c:pt idx="20">
                  <c:v>1.4745146200228401</c:v>
                </c:pt>
                <c:pt idx="21">
                  <c:v>1.4985388862246101</c:v>
                </c:pt>
                <c:pt idx="22">
                  <c:v>1.54149461904316</c:v>
                </c:pt>
                <c:pt idx="23">
                  <c:v>1.48778773993042</c:v>
                </c:pt>
                <c:pt idx="24">
                  <c:v>1.4848461613406501</c:v>
                </c:pt>
                <c:pt idx="25">
                  <c:v>1.54790062581731</c:v>
                </c:pt>
                <c:pt idx="26">
                  <c:v>1.51881881641921</c:v>
                </c:pt>
                <c:pt idx="27">
                  <c:v>1.57907207320207</c:v>
                </c:pt>
                <c:pt idx="28">
                  <c:v>1.6965831213460001</c:v>
                </c:pt>
                <c:pt idx="29">
                  <c:v>1.76662639429386</c:v>
                </c:pt>
                <c:pt idx="30">
                  <c:v>1.8766306331331299</c:v>
                </c:pt>
                <c:pt idx="31">
                  <c:v>1.98296609137114</c:v>
                </c:pt>
                <c:pt idx="32">
                  <c:v>2.02641413470743</c:v>
                </c:pt>
                <c:pt idx="33">
                  <c:v>2.05497230776498</c:v>
                </c:pt>
                <c:pt idx="34">
                  <c:v>2.13864244685232</c:v>
                </c:pt>
                <c:pt idx="35">
                  <c:v>2.0825118738208599</c:v>
                </c:pt>
                <c:pt idx="36">
                  <c:v>2.10870751754813</c:v>
                </c:pt>
                <c:pt idx="37">
                  <c:v>2.11217315165021</c:v>
                </c:pt>
                <c:pt idx="38">
                  <c:v>1.99718508371748</c:v>
                </c:pt>
                <c:pt idx="39">
                  <c:v>2.0139627329226601</c:v>
                </c:pt>
                <c:pt idx="40">
                  <c:v>2.0935991006915202</c:v>
                </c:pt>
                <c:pt idx="41">
                  <c:v>2.1168954027327902</c:v>
                </c:pt>
                <c:pt idx="42">
                  <c:v>2.17505951309544</c:v>
                </c:pt>
                <c:pt idx="43">
                  <c:v>2.2383049931646699</c:v>
                </c:pt>
                <c:pt idx="44">
                  <c:v>2.2207067653095902</c:v>
                </c:pt>
                <c:pt idx="45">
                  <c:v>2.1926722554228699</c:v>
                </c:pt>
                <c:pt idx="46">
                  <c:v>2.21002013692428</c:v>
                </c:pt>
                <c:pt idx="47">
                  <c:v>2.0889813182680101</c:v>
                </c:pt>
                <c:pt idx="48">
                  <c:v>2.0548697371545401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EstimacionesHip!$Q$5</c:f>
              <c:strCache>
                <c:ptCount val="1"/>
                <c:pt idx="0">
                  <c:v>AdversoPromedio</c:v>
                </c:pt>
              </c:strCache>
            </c:strRef>
          </c:tx>
          <c:marker>
            <c:symbol val="none"/>
          </c:marker>
          <c:cat>
            <c:numRef>
              <c:f>EstimacionesHip!$J$6:$J$54</c:f>
              <c:numCache>
                <c:formatCode>m/d/yyyy</c:formatCode>
                <c:ptCount val="49"/>
                <c:pt idx="0">
                  <c:v>42705</c:v>
                </c:pt>
                <c:pt idx="1">
                  <c:v>42736</c:v>
                </c:pt>
                <c:pt idx="2">
                  <c:v>42767</c:v>
                </c:pt>
                <c:pt idx="3">
                  <c:v>42795</c:v>
                </c:pt>
                <c:pt idx="4">
                  <c:v>42826</c:v>
                </c:pt>
                <c:pt idx="5">
                  <c:v>42856</c:v>
                </c:pt>
                <c:pt idx="6">
                  <c:v>42887</c:v>
                </c:pt>
                <c:pt idx="7">
                  <c:v>42917</c:v>
                </c:pt>
                <c:pt idx="8">
                  <c:v>42948</c:v>
                </c:pt>
                <c:pt idx="9">
                  <c:v>42979</c:v>
                </c:pt>
                <c:pt idx="10">
                  <c:v>43009</c:v>
                </c:pt>
                <c:pt idx="11">
                  <c:v>43040</c:v>
                </c:pt>
                <c:pt idx="12">
                  <c:v>43070</c:v>
                </c:pt>
                <c:pt idx="13">
                  <c:v>43101</c:v>
                </c:pt>
                <c:pt idx="14">
                  <c:v>43132</c:v>
                </c:pt>
                <c:pt idx="15">
                  <c:v>43160</c:v>
                </c:pt>
                <c:pt idx="16">
                  <c:v>43191</c:v>
                </c:pt>
                <c:pt idx="17">
                  <c:v>43221</c:v>
                </c:pt>
                <c:pt idx="18">
                  <c:v>43252</c:v>
                </c:pt>
                <c:pt idx="19">
                  <c:v>43282</c:v>
                </c:pt>
                <c:pt idx="20">
                  <c:v>43313</c:v>
                </c:pt>
                <c:pt idx="21">
                  <c:v>43344</c:v>
                </c:pt>
                <c:pt idx="22">
                  <c:v>43374</c:v>
                </c:pt>
                <c:pt idx="23">
                  <c:v>43405</c:v>
                </c:pt>
                <c:pt idx="24">
                  <c:v>43435</c:v>
                </c:pt>
                <c:pt idx="25">
                  <c:v>43466</c:v>
                </c:pt>
                <c:pt idx="26">
                  <c:v>43497</c:v>
                </c:pt>
                <c:pt idx="27">
                  <c:v>43525</c:v>
                </c:pt>
                <c:pt idx="28">
                  <c:v>43556</c:v>
                </c:pt>
                <c:pt idx="29">
                  <c:v>43586</c:v>
                </c:pt>
                <c:pt idx="30">
                  <c:v>43617</c:v>
                </c:pt>
                <c:pt idx="31">
                  <c:v>43647</c:v>
                </c:pt>
                <c:pt idx="32">
                  <c:v>43678</c:v>
                </c:pt>
                <c:pt idx="33">
                  <c:v>43709</c:v>
                </c:pt>
                <c:pt idx="34">
                  <c:v>43739</c:v>
                </c:pt>
                <c:pt idx="35">
                  <c:v>43770</c:v>
                </c:pt>
                <c:pt idx="36">
                  <c:v>43800</c:v>
                </c:pt>
                <c:pt idx="37">
                  <c:v>43831</c:v>
                </c:pt>
                <c:pt idx="38">
                  <c:v>43862</c:v>
                </c:pt>
                <c:pt idx="39">
                  <c:v>43891</c:v>
                </c:pt>
                <c:pt idx="40">
                  <c:v>43922</c:v>
                </c:pt>
                <c:pt idx="41">
                  <c:v>43952</c:v>
                </c:pt>
                <c:pt idx="42">
                  <c:v>43983</c:v>
                </c:pt>
                <c:pt idx="43">
                  <c:v>44013</c:v>
                </c:pt>
                <c:pt idx="44">
                  <c:v>44044</c:v>
                </c:pt>
                <c:pt idx="45">
                  <c:v>44075</c:v>
                </c:pt>
                <c:pt idx="46">
                  <c:v>44105</c:v>
                </c:pt>
                <c:pt idx="47">
                  <c:v>44136</c:v>
                </c:pt>
                <c:pt idx="48">
                  <c:v>44166</c:v>
                </c:pt>
              </c:numCache>
            </c:numRef>
          </c:cat>
          <c:val>
            <c:numRef>
              <c:f>EstimacionesHip!$P$6:$P$54</c:f>
              <c:numCache>
                <c:formatCode>0.00</c:formatCode>
                <c:ptCount val="49"/>
                <c:pt idx="0">
                  <c:v>0.90413791751940598</c:v>
                </c:pt>
                <c:pt idx="1">
                  <c:v>0.93193033786583901</c:v>
                </c:pt>
                <c:pt idx="2">
                  <c:v>0.95038614026969304</c:v>
                </c:pt>
                <c:pt idx="3">
                  <c:v>0.93838183421110699</c:v>
                </c:pt>
                <c:pt idx="4">
                  <c:v>1.01742070050781</c:v>
                </c:pt>
                <c:pt idx="5">
                  <c:v>0.96651216476302504</c:v>
                </c:pt>
                <c:pt idx="6">
                  <c:v>0.96463591848667896</c:v>
                </c:pt>
                <c:pt idx="7">
                  <c:v>0.97959044724198896</c:v>
                </c:pt>
                <c:pt idx="8">
                  <c:v>0.98537952970546305</c:v>
                </c:pt>
                <c:pt idx="9">
                  <c:v>0.95573559365891103</c:v>
                </c:pt>
                <c:pt idx="10">
                  <c:v>0.98413283324519196</c:v>
                </c:pt>
                <c:pt idx="11">
                  <c:v>0.98315461733285703</c:v>
                </c:pt>
                <c:pt idx="12">
                  <c:v>0.93839811748576296</c:v>
                </c:pt>
                <c:pt idx="13">
                  <c:v>0.93301091801776803</c:v>
                </c:pt>
                <c:pt idx="14">
                  <c:v>0.96132454306271098</c:v>
                </c:pt>
                <c:pt idx="15">
                  <c:v>0.93866391348066003</c:v>
                </c:pt>
                <c:pt idx="16">
                  <c:v>1.14545436646764</c:v>
                </c:pt>
                <c:pt idx="17">
                  <c:v>1.23938854398876</c:v>
                </c:pt>
                <c:pt idx="18">
                  <c:v>1.35356166177127</c:v>
                </c:pt>
                <c:pt idx="19">
                  <c:v>1.4375632789402799</c:v>
                </c:pt>
                <c:pt idx="20">
                  <c:v>1.4745146200228401</c:v>
                </c:pt>
                <c:pt idx="21">
                  <c:v>1.4985388862246101</c:v>
                </c:pt>
                <c:pt idx="22">
                  <c:v>1.54149461904316</c:v>
                </c:pt>
                <c:pt idx="23">
                  <c:v>1.48778773993042</c:v>
                </c:pt>
                <c:pt idx="24">
                  <c:v>1.4848461613406501</c:v>
                </c:pt>
                <c:pt idx="25">
                  <c:v>1.54790062581731</c:v>
                </c:pt>
                <c:pt idx="26">
                  <c:v>1.51881881641921</c:v>
                </c:pt>
                <c:pt idx="27">
                  <c:v>1.57907207320207</c:v>
                </c:pt>
                <c:pt idx="28">
                  <c:v>1.6965831213460001</c:v>
                </c:pt>
                <c:pt idx="29">
                  <c:v>1.76662639429386</c:v>
                </c:pt>
                <c:pt idx="30">
                  <c:v>1.8766306331331299</c:v>
                </c:pt>
                <c:pt idx="31">
                  <c:v>1.98296609137114</c:v>
                </c:pt>
                <c:pt idx="32">
                  <c:v>2.02641413470743</c:v>
                </c:pt>
                <c:pt idx="33">
                  <c:v>2.05497230776498</c:v>
                </c:pt>
                <c:pt idx="34">
                  <c:v>2.13864244685232</c:v>
                </c:pt>
                <c:pt idx="35">
                  <c:v>2.0825118738208599</c:v>
                </c:pt>
                <c:pt idx="36">
                  <c:v>2.10870751754813</c:v>
                </c:pt>
                <c:pt idx="37">
                  <c:v>2.11217315165021</c:v>
                </c:pt>
                <c:pt idx="38">
                  <c:v>1.99718508371748</c:v>
                </c:pt>
                <c:pt idx="39">
                  <c:v>2.0139627329226601</c:v>
                </c:pt>
                <c:pt idx="40">
                  <c:v>2.0935991006915202</c:v>
                </c:pt>
                <c:pt idx="41">
                  <c:v>2.1168954027327902</c:v>
                </c:pt>
                <c:pt idx="42">
                  <c:v>2.17505951309544</c:v>
                </c:pt>
                <c:pt idx="43">
                  <c:v>2.2383049931646699</c:v>
                </c:pt>
                <c:pt idx="44">
                  <c:v>2.2207067653095902</c:v>
                </c:pt>
                <c:pt idx="45">
                  <c:v>2.1926722554228699</c:v>
                </c:pt>
                <c:pt idx="46">
                  <c:v>2.21002013692428</c:v>
                </c:pt>
                <c:pt idx="47">
                  <c:v>2.0889813182680101</c:v>
                </c:pt>
                <c:pt idx="48">
                  <c:v>2.0548697371545401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885824"/>
        <c:axId val="123908096"/>
      </c:lineChart>
      <c:dateAx>
        <c:axId val="123885824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crossAx val="123908096"/>
        <c:crosses val="autoZero"/>
        <c:auto val="1"/>
        <c:lblOffset val="100"/>
        <c:baseTimeUnit val="months"/>
      </c:dateAx>
      <c:valAx>
        <c:axId val="123908096"/>
        <c:scaling>
          <c:orientation val="minMax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crossAx val="123885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EstimacionesHip!$K$5</c:f>
              <c:strCache>
                <c:ptCount val="1"/>
                <c:pt idx="0">
                  <c:v>Base Mean</c:v>
                </c:pt>
              </c:strCache>
            </c:strRef>
          </c:tx>
          <c:marker>
            <c:symbol val="none"/>
          </c:marker>
          <c:val>
            <c:numRef>
              <c:f>EstimacionesHip!$K$6:$K$54</c:f>
              <c:numCache>
                <c:formatCode>0.00</c:formatCode>
                <c:ptCount val="49"/>
                <c:pt idx="0">
                  <c:v>0.90377002761205205</c:v>
                </c:pt>
                <c:pt idx="1">
                  <c:v>0.93155113943964696</c:v>
                </c:pt>
                <c:pt idx="2">
                  <c:v>0.94999943228288797</c:v>
                </c:pt>
                <c:pt idx="3">
                  <c:v>0.93800001068219097</c:v>
                </c:pt>
                <c:pt idx="4">
                  <c:v>1.0170067163154499</c:v>
                </c:pt>
                <c:pt idx="5">
                  <c:v>0.96611889507414705</c:v>
                </c:pt>
                <c:pt idx="6">
                  <c:v>0.96424341215679499</c:v>
                </c:pt>
                <c:pt idx="7">
                  <c:v>0.97919185599448599</c:v>
                </c:pt>
                <c:pt idx="8">
                  <c:v>0.98497858296406604</c:v>
                </c:pt>
                <c:pt idx="9">
                  <c:v>0.95534670873966099</c:v>
                </c:pt>
                <c:pt idx="10">
                  <c:v>0.98373239368980103</c:v>
                </c:pt>
                <c:pt idx="11">
                  <c:v>0.98275457577251801</c:v>
                </c:pt>
                <c:pt idx="12">
                  <c:v>0.93801628723429098</c:v>
                </c:pt>
                <c:pt idx="13">
                  <c:v>0.932631279554753</c:v>
                </c:pt>
                <c:pt idx="14">
                  <c:v>0.96093338425340502</c:v>
                </c:pt>
                <c:pt idx="15">
                  <c:v>0.93828197374893096</c:v>
                </c:pt>
                <c:pt idx="16">
                  <c:v>0.95971659964487699</c:v>
                </c:pt>
                <c:pt idx="17">
                  <c:v>0.950524225598676</c:v>
                </c:pt>
                <c:pt idx="18">
                  <c:v>0.95398339794155196</c:v>
                </c:pt>
                <c:pt idx="19">
                  <c:v>0.96393487960429802</c:v>
                </c:pt>
                <c:pt idx="20">
                  <c:v>0.94093792808773502</c:v>
                </c:pt>
                <c:pt idx="21">
                  <c:v>0.91830172456110304</c:v>
                </c:pt>
                <c:pt idx="22">
                  <c:v>0.91055543487853297</c:v>
                </c:pt>
                <c:pt idx="23">
                  <c:v>0.85184413944450699</c:v>
                </c:pt>
                <c:pt idx="24">
                  <c:v>0.82303034103086703</c:v>
                </c:pt>
                <c:pt idx="25">
                  <c:v>0.805108523482155</c:v>
                </c:pt>
                <c:pt idx="26">
                  <c:v>0.74743815708629802</c:v>
                </c:pt>
                <c:pt idx="27">
                  <c:v>0.73591601655907102</c:v>
                </c:pt>
                <c:pt idx="28">
                  <c:v>0.74385050801892405</c:v>
                </c:pt>
                <c:pt idx="29">
                  <c:v>0.73312414547836302</c:v>
                </c:pt>
                <c:pt idx="30">
                  <c:v>0.73207551506526103</c:v>
                </c:pt>
                <c:pt idx="31">
                  <c:v>0.73559452049570495</c:v>
                </c:pt>
                <c:pt idx="32">
                  <c:v>0.71391528585682595</c:v>
                </c:pt>
                <c:pt idx="33">
                  <c:v>0.69273323169910594</c:v>
                </c:pt>
                <c:pt idx="34">
                  <c:v>0.68244199593189903</c:v>
                </c:pt>
                <c:pt idx="35">
                  <c:v>0.63416779380702104</c:v>
                </c:pt>
                <c:pt idx="36">
                  <c:v>0.60874950344277701</c:v>
                </c:pt>
                <c:pt idx="37">
                  <c:v>0.59106901192135197</c:v>
                </c:pt>
                <c:pt idx="38">
                  <c:v>0.54465315566926198</c:v>
                </c:pt>
                <c:pt idx="39">
                  <c:v>0.53265677965468805</c:v>
                </c:pt>
                <c:pt idx="40">
                  <c:v>0.53346784443184003</c:v>
                </c:pt>
                <c:pt idx="41">
                  <c:v>0.52111360070208901</c:v>
                </c:pt>
                <c:pt idx="42">
                  <c:v>0.51560146823849395</c:v>
                </c:pt>
                <c:pt idx="43">
                  <c:v>0.51456683015961202</c:v>
                </c:pt>
                <c:pt idx="44">
                  <c:v>0.49590275661537703</c:v>
                </c:pt>
                <c:pt idx="45">
                  <c:v>0.47781788669999198</c:v>
                </c:pt>
                <c:pt idx="46">
                  <c:v>0.46712735386990401</c:v>
                </c:pt>
                <c:pt idx="47">
                  <c:v>0.43066146843222902</c:v>
                </c:pt>
                <c:pt idx="48">
                  <c:v>0.41024531294397498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EstimacionesHip!$Q$5</c:f>
              <c:strCache>
                <c:ptCount val="1"/>
                <c:pt idx="0">
                  <c:v>AdversoPromedio</c:v>
                </c:pt>
              </c:strCache>
            </c:strRef>
          </c:tx>
          <c:marker>
            <c:symbol val="none"/>
          </c:marker>
          <c:val>
            <c:numRef>
              <c:f>EstimacionesHip!$Q$6:$Q$54</c:f>
              <c:numCache>
                <c:formatCode>0.00</c:formatCode>
                <c:ptCount val="49"/>
                <c:pt idx="0">
                  <c:v>0.90377002761205205</c:v>
                </c:pt>
                <c:pt idx="1">
                  <c:v>0.93155113943964696</c:v>
                </c:pt>
                <c:pt idx="2">
                  <c:v>0.94999943228288797</c:v>
                </c:pt>
                <c:pt idx="3">
                  <c:v>0.93800001068219097</c:v>
                </c:pt>
                <c:pt idx="4">
                  <c:v>1.0170067163154499</c:v>
                </c:pt>
                <c:pt idx="5">
                  <c:v>0.96611889507414705</c:v>
                </c:pt>
                <c:pt idx="6">
                  <c:v>0.96424341215679499</c:v>
                </c:pt>
                <c:pt idx="7">
                  <c:v>0.97919185599448599</c:v>
                </c:pt>
                <c:pt idx="8">
                  <c:v>0.98497858296406604</c:v>
                </c:pt>
                <c:pt idx="9">
                  <c:v>0.95534670873966099</c:v>
                </c:pt>
                <c:pt idx="10">
                  <c:v>0.98373239368980103</c:v>
                </c:pt>
                <c:pt idx="11">
                  <c:v>0.98275457577251801</c:v>
                </c:pt>
                <c:pt idx="12">
                  <c:v>0.93801628723429098</c:v>
                </c:pt>
                <c:pt idx="13">
                  <c:v>0.932631279554753</c:v>
                </c:pt>
                <c:pt idx="14">
                  <c:v>0.96093338425340502</c:v>
                </c:pt>
                <c:pt idx="15">
                  <c:v>0.93828197374893096</c:v>
                </c:pt>
                <c:pt idx="16">
                  <c:v>1.0626740490650006</c:v>
                </c:pt>
                <c:pt idx="17">
                  <c:v>1.115021150914661</c:v>
                </c:pt>
                <c:pt idx="18">
                  <c:v>1.1845776249773872</c:v>
                </c:pt>
                <c:pt idx="19">
                  <c:v>1.2374868129779164</c:v>
                </c:pt>
                <c:pt idx="20">
                  <c:v>1.272476213291305</c:v>
                </c:pt>
                <c:pt idx="21">
                  <c:v>1.2952819132519895</c:v>
                </c:pt>
                <c:pt idx="22">
                  <c:v>1.3361242048548345</c:v>
                </c:pt>
                <c:pt idx="23">
                  <c:v>1.284917430410357</c:v>
                </c:pt>
                <c:pt idx="24">
                  <c:v>1.2821229093562962</c:v>
                </c:pt>
                <c:pt idx="25">
                  <c:v>1.3420132421748141</c:v>
                </c:pt>
                <c:pt idx="26">
                  <c:v>1.3142782636274339</c:v>
                </c:pt>
                <c:pt idx="27">
                  <c:v>1.3716310560283675</c:v>
                </c:pt>
                <c:pt idx="28">
                  <c:v>1.4839121775652668</c:v>
                </c:pt>
                <c:pt idx="29">
                  <c:v>1.5513016681323641</c:v>
                </c:pt>
                <c:pt idx="30">
                  <c:v>1.6575577139723909</c:v>
                </c:pt>
                <c:pt idx="31">
                  <c:v>1.760872064465874</c:v>
                </c:pt>
                <c:pt idx="32">
                  <c:v>1.8033120692190776</c:v>
                </c:pt>
                <c:pt idx="33">
                  <c:v>1.831267474283728</c:v>
                </c:pt>
                <c:pt idx="34">
                  <c:v>1.9132854382584823</c:v>
                </c:pt>
                <c:pt idx="35">
                  <c:v>1.8580479725482666</c:v>
                </c:pt>
                <c:pt idx="36">
                  <c:v>1.8837573284764633</c:v>
                </c:pt>
                <c:pt idx="37">
                  <c:v>1.8871628529228894</c:v>
                </c:pt>
                <c:pt idx="38">
                  <c:v>1.7741506544775441</c:v>
                </c:pt>
                <c:pt idx="39">
                  <c:v>1.7905450714580751</c:v>
                </c:pt>
                <c:pt idx="40">
                  <c:v>1.8684272257973797</c:v>
                </c:pt>
                <c:pt idx="41">
                  <c:v>1.891297024259714</c:v>
                </c:pt>
                <c:pt idx="42">
                  <c:v>1.9484591162441081</c:v>
                </c:pt>
                <c:pt idx="43">
                  <c:v>2.010781252537944</c:v>
                </c:pt>
                <c:pt idx="44">
                  <c:v>1.9933909480742351</c:v>
                </c:pt>
                <c:pt idx="45">
                  <c:v>1.9657096202076518</c:v>
                </c:pt>
                <c:pt idx="46">
                  <c:v>1.9828170502946278</c:v>
                </c:pt>
                <c:pt idx="47">
                  <c:v>1.8633622035688879</c:v>
                </c:pt>
                <c:pt idx="48">
                  <c:v>1.8298920842171909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921152"/>
        <c:axId val="123922688"/>
      </c:lineChart>
      <c:catAx>
        <c:axId val="123921152"/>
        <c:scaling>
          <c:orientation val="minMax"/>
        </c:scaling>
        <c:delete val="0"/>
        <c:axPos val="b"/>
        <c:majorTickMark val="out"/>
        <c:minorTickMark val="none"/>
        <c:tickLblPos val="nextTo"/>
        <c:crossAx val="123922688"/>
        <c:crosses val="autoZero"/>
        <c:auto val="1"/>
        <c:lblAlgn val="ctr"/>
        <c:lblOffset val="100"/>
        <c:noMultiLvlLbl val="0"/>
      </c:catAx>
      <c:valAx>
        <c:axId val="12392268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39211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EstimacionesHip!$B$56</c:f>
              <c:strCache>
                <c:ptCount val="1"/>
                <c:pt idx="0">
                  <c:v>Entrega 2017</c:v>
                </c:pt>
              </c:strCache>
            </c:strRef>
          </c:tx>
          <c:marker>
            <c:symbol val="none"/>
          </c:marker>
          <c:val>
            <c:numRef>
              <c:f>EstimacionesHip!$B$57:$B$92</c:f>
              <c:numCache>
                <c:formatCode>0.00</c:formatCode>
                <c:ptCount val="36"/>
                <c:pt idx="0">
                  <c:v>2.3636820118352002</c:v>
                </c:pt>
                <c:pt idx="1">
                  <c:v>2.32964942821918</c:v>
                </c:pt>
                <c:pt idx="2">
                  <c:v>2.2605574433312299</c:v>
                </c:pt>
                <c:pt idx="3">
                  <c:v>2.2935807239396699</c:v>
                </c:pt>
                <c:pt idx="4">
                  <c:v>2.2978624666902001</c:v>
                </c:pt>
                <c:pt idx="5">
                  <c:v>2.2173956495434899</c:v>
                </c:pt>
                <c:pt idx="6">
                  <c:v>2.2659190862766598</c:v>
                </c:pt>
                <c:pt idx="7">
                  <c:v>2.2712974966165098</c:v>
                </c:pt>
                <c:pt idx="8">
                  <c:v>2.2705119587154599</c:v>
                </c:pt>
                <c:pt idx="9">
                  <c:v>2.2652568226481602</c:v>
                </c:pt>
                <c:pt idx="10">
                  <c:v>2.2160083314486498</c:v>
                </c:pt>
                <c:pt idx="11">
                  <c:v>2.21888594762419</c:v>
                </c:pt>
                <c:pt idx="12">
                  <c:v>2.3546054810811099</c:v>
                </c:pt>
                <c:pt idx="13">
                  <c:v>2.35867661111959</c:v>
                </c:pt>
                <c:pt idx="14">
                  <c:v>2.2849843273068502</c:v>
                </c:pt>
                <c:pt idx="15">
                  <c:v>2.30345429415638</c:v>
                </c:pt>
                <c:pt idx="16">
                  <c:v>2.27840932324523</c:v>
                </c:pt>
                <c:pt idx="17">
                  <c:v>2.2000677782010198</c:v>
                </c:pt>
                <c:pt idx="18">
                  <c:v>2.2478979164541002</c:v>
                </c:pt>
                <c:pt idx="19">
                  <c:v>2.25291873864695</c:v>
                </c:pt>
                <c:pt idx="20">
                  <c:v>2.2518248970177899</c:v>
                </c:pt>
                <c:pt idx="21">
                  <c:v>2.2469269442661401</c:v>
                </c:pt>
                <c:pt idx="22">
                  <c:v>2.1983841088049099</c:v>
                </c:pt>
                <c:pt idx="23">
                  <c:v>2.2015464303251702</c:v>
                </c:pt>
                <c:pt idx="24">
                  <c:v>2.3368583291479501</c:v>
                </c:pt>
                <c:pt idx="25">
                  <c:v>2.3415530337224002</c:v>
                </c:pt>
                <c:pt idx="26">
                  <c:v>2.2690297384493299</c:v>
                </c:pt>
                <c:pt idx="27">
                  <c:v>2.28689138436981</c:v>
                </c:pt>
                <c:pt idx="28">
                  <c:v>2.26155245285655</c:v>
                </c:pt>
                <c:pt idx="29">
                  <c:v>2.1833328698107599</c:v>
                </c:pt>
                <c:pt idx="30">
                  <c:v>2.2307212624244799</c:v>
                </c:pt>
                <c:pt idx="31">
                  <c:v>2.2356256243863899</c:v>
                </c:pt>
                <c:pt idx="32">
                  <c:v>2.2344621245943301</c:v>
                </c:pt>
                <c:pt idx="33">
                  <c:v>2.2298355996519099</c:v>
                </c:pt>
                <c:pt idx="34">
                  <c:v>2.1818906451968201</c:v>
                </c:pt>
                <c:pt idx="35">
                  <c:v>2.1852582320404998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EstimacionesHip!$C$56</c:f>
              <c:strCache>
                <c:ptCount val="1"/>
                <c:pt idx="0">
                  <c:v>Entrega 2018</c:v>
                </c:pt>
              </c:strCache>
            </c:strRef>
          </c:tx>
          <c:marker>
            <c:symbol val="none"/>
          </c:marker>
          <c:val>
            <c:numRef>
              <c:f>EstimacionesHip!$C$57:$C$92</c:f>
              <c:numCache>
                <c:formatCode>0.00</c:formatCode>
                <c:ptCount val="36"/>
                <c:pt idx="0">
                  <c:v>2.36646858743419</c:v>
                </c:pt>
                <c:pt idx="1">
                  <c:v>2.3345448125586499</c:v>
                </c:pt>
                <c:pt idx="2">
                  <c:v>2.26529453717834</c:v>
                </c:pt>
                <c:pt idx="3">
                  <c:v>2.2245103712267098</c:v>
                </c:pt>
                <c:pt idx="4">
                  <c:v>2.1856972652500901</c:v>
                </c:pt>
                <c:pt idx="5">
                  <c:v>2.1939301537956002</c:v>
                </c:pt>
                <c:pt idx="6">
                  <c:v>2.2384206753617701</c:v>
                </c:pt>
                <c:pt idx="7">
                  <c:v>2.29642027385152</c:v>
                </c:pt>
                <c:pt idx="8">
                  <c:v>2.3606939103075</c:v>
                </c:pt>
                <c:pt idx="9">
                  <c:v>2.3270195989992302</c:v>
                </c:pt>
                <c:pt idx="10">
                  <c:v>2.2791740796074502</c:v>
                </c:pt>
                <c:pt idx="11">
                  <c:v>2.2305139284076798</c:v>
                </c:pt>
                <c:pt idx="12">
                  <c:v>2.2704762917324102</c:v>
                </c:pt>
                <c:pt idx="13">
                  <c:v>2.24550026593815</c:v>
                </c:pt>
                <c:pt idx="14">
                  <c:v>2.1189527872362302</c:v>
                </c:pt>
                <c:pt idx="15">
                  <c:v>2.0938625616169202</c:v>
                </c:pt>
                <c:pt idx="16">
                  <c:v>2.06032751959772</c:v>
                </c:pt>
                <c:pt idx="17">
                  <c:v>2.0481073494642699</c:v>
                </c:pt>
                <c:pt idx="18">
                  <c:v>2.09546368992839</c:v>
                </c:pt>
                <c:pt idx="19">
                  <c:v>2.15443401345635</c:v>
                </c:pt>
                <c:pt idx="20">
                  <c:v>2.2163882433636499</c:v>
                </c:pt>
                <c:pt idx="21">
                  <c:v>2.1740528765475502</c:v>
                </c:pt>
                <c:pt idx="22">
                  <c:v>2.1199672582445799</c:v>
                </c:pt>
                <c:pt idx="23">
                  <c:v>2.0533740632278801</c:v>
                </c:pt>
                <c:pt idx="24">
                  <c:v>2.1042662543194499</c:v>
                </c:pt>
                <c:pt idx="25">
                  <c:v>2.0690438276652001</c:v>
                </c:pt>
                <c:pt idx="26">
                  <c:v>1.96182675031497</c:v>
                </c:pt>
                <c:pt idx="27">
                  <c:v>1.94046018444505</c:v>
                </c:pt>
                <c:pt idx="28">
                  <c:v>1.9111578664867599</c:v>
                </c:pt>
                <c:pt idx="29">
                  <c:v>1.9016483347694499</c:v>
                </c:pt>
                <c:pt idx="30">
                  <c:v>1.94833320985763</c:v>
                </c:pt>
                <c:pt idx="31">
                  <c:v>2.0060515044761602</c:v>
                </c:pt>
                <c:pt idx="32">
                  <c:v>2.0667146059789401</c:v>
                </c:pt>
                <c:pt idx="33">
                  <c:v>2.03238900198938</c:v>
                </c:pt>
                <c:pt idx="34">
                  <c:v>1.9870311936294101</c:v>
                </c:pt>
                <c:pt idx="35">
                  <c:v>1.9295039235125899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EstimacionesHip!$D$56</c:f>
              <c:strCache>
                <c:ptCount val="1"/>
                <c:pt idx="0">
                  <c:v>Ene18-dic20</c:v>
                </c:pt>
              </c:strCache>
            </c:strRef>
          </c:tx>
          <c:marker>
            <c:symbol val="none"/>
          </c:marker>
          <c:val>
            <c:numRef>
              <c:f>EstimacionesHip!$D$57:$D$92</c:f>
              <c:numCache>
                <c:formatCode>0.00</c:formatCode>
                <c:ptCount val="36"/>
                <c:pt idx="0">
                  <c:v>2.21491838176394</c:v>
                </c:pt>
                <c:pt idx="1">
                  <c:v>2.2373235943327301</c:v>
                </c:pt>
                <c:pt idx="2">
                  <c:v>2.2199882090379699</c:v>
                </c:pt>
                <c:pt idx="3">
                  <c:v>2.2071976343905502</c:v>
                </c:pt>
                <c:pt idx="4">
                  <c:v>2.18918458626074</c:v>
                </c:pt>
                <c:pt idx="5">
                  <c:v>2.15813376183976</c:v>
                </c:pt>
                <c:pt idx="6">
                  <c:v>2.1967937986267501</c:v>
                </c:pt>
                <c:pt idx="7">
                  <c:v>2.2373734849662901</c:v>
                </c:pt>
                <c:pt idx="8">
                  <c:v>2.3008184874927502</c:v>
                </c:pt>
                <c:pt idx="9">
                  <c:v>2.3086234935036698</c:v>
                </c:pt>
                <c:pt idx="10">
                  <c:v>2.2936222358585598</c:v>
                </c:pt>
                <c:pt idx="11">
                  <c:v>2.2190032623146698</c:v>
                </c:pt>
                <c:pt idx="12">
                  <c:v>2.24415020549859</c:v>
                </c:pt>
                <c:pt idx="13">
                  <c:v>2.2280501551815899</c:v>
                </c:pt>
                <c:pt idx="14">
                  <c:v>2.1439995624609902</c:v>
                </c:pt>
                <c:pt idx="15">
                  <c:v>2.1307949538056801</c:v>
                </c:pt>
                <c:pt idx="16">
                  <c:v>2.1125881133342901</c:v>
                </c:pt>
                <c:pt idx="17">
                  <c:v>2.08179145745616</c:v>
                </c:pt>
                <c:pt idx="18">
                  <c:v>2.1178547727560302</c:v>
                </c:pt>
                <c:pt idx="19">
                  <c:v>2.1556834553097</c:v>
                </c:pt>
                <c:pt idx="20">
                  <c:v>2.2154832935336399</c:v>
                </c:pt>
                <c:pt idx="21">
                  <c:v>2.2206529024380202</c:v>
                </c:pt>
                <c:pt idx="22">
                  <c:v>2.2038174924819698</c:v>
                </c:pt>
                <c:pt idx="23">
                  <c:v>2.12987014554278</c:v>
                </c:pt>
                <c:pt idx="24">
                  <c:v>2.1526872590262398</c:v>
                </c:pt>
                <c:pt idx="25">
                  <c:v>2.13593393066677</c:v>
                </c:pt>
                <c:pt idx="26">
                  <c:v>2.0542208629220098</c:v>
                </c:pt>
                <c:pt idx="27">
                  <c:v>2.0399378159291301</c:v>
                </c:pt>
                <c:pt idx="28">
                  <c:v>2.0209432873945201</c:v>
                </c:pt>
                <c:pt idx="29">
                  <c:v>1.98989125110582</c:v>
                </c:pt>
                <c:pt idx="30">
                  <c:v>2.02326660853804</c:v>
                </c:pt>
                <c:pt idx="31">
                  <c:v>2.0582537004211701</c:v>
                </c:pt>
                <c:pt idx="32">
                  <c:v>2.1141674105869499</c:v>
                </c:pt>
                <c:pt idx="33">
                  <c:v>2.1173610810069698</c:v>
                </c:pt>
                <c:pt idx="34">
                  <c:v>2.09952636013645</c:v>
                </c:pt>
                <c:pt idx="35">
                  <c:v>2.0274127888239399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075392"/>
        <c:axId val="124097664"/>
      </c:lineChart>
      <c:catAx>
        <c:axId val="1240753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4097664"/>
        <c:crosses val="autoZero"/>
        <c:auto val="1"/>
        <c:lblAlgn val="ctr"/>
        <c:lblOffset val="100"/>
        <c:noMultiLvlLbl val="0"/>
      </c:catAx>
      <c:valAx>
        <c:axId val="124097664"/>
        <c:scaling>
          <c:orientation val="minMax"/>
          <c:min val="1.5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4075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Escenario Base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EstimacionesCons!$K$5</c:f>
              <c:strCache>
                <c:ptCount val="1"/>
                <c:pt idx="0">
                  <c:v>Base Mean</c:v>
                </c:pt>
              </c:strCache>
            </c:strRef>
          </c:tx>
          <c:marker>
            <c:symbol val="none"/>
          </c:marker>
          <c:cat>
            <c:numRef>
              <c:f>EstimacionesCons!$J$6:$J$54</c:f>
              <c:numCache>
                <c:formatCode>m/d/yyyy</c:formatCode>
                <c:ptCount val="49"/>
                <c:pt idx="0">
                  <c:v>42705</c:v>
                </c:pt>
                <c:pt idx="1">
                  <c:v>42736</c:v>
                </c:pt>
                <c:pt idx="2">
                  <c:v>42767</c:v>
                </c:pt>
                <c:pt idx="3">
                  <c:v>42795</c:v>
                </c:pt>
                <c:pt idx="4">
                  <c:v>42826</c:v>
                </c:pt>
                <c:pt idx="5">
                  <c:v>42856</c:v>
                </c:pt>
                <c:pt idx="6">
                  <c:v>42887</c:v>
                </c:pt>
                <c:pt idx="7">
                  <c:v>42917</c:v>
                </c:pt>
                <c:pt idx="8">
                  <c:v>42948</c:v>
                </c:pt>
                <c:pt idx="9">
                  <c:v>42979</c:v>
                </c:pt>
                <c:pt idx="10">
                  <c:v>43009</c:v>
                </c:pt>
                <c:pt idx="11">
                  <c:v>43040</c:v>
                </c:pt>
                <c:pt idx="12">
                  <c:v>43070</c:v>
                </c:pt>
                <c:pt idx="13">
                  <c:v>43101</c:v>
                </c:pt>
                <c:pt idx="14">
                  <c:v>43132</c:v>
                </c:pt>
                <c:pt idx="15">
                  <c:v>43160</c:v>
                </c:pt>
                <c:pt idx="16">
                  <c:v>43191</c:v>
                </c:pt>
                <c:pt idx="17">
                  <c:v>43221</c:v>
                </c:pt>
                <c:pt idx="18">
                  <c:v>43252</c:v>
                </c:pt>
                <c:pt idx="19">
                  <c:v>43282</c:v>
                </c:pt>
                <c:pt idx="20">
                  <c:v>43313</c:v>
                </c:pt>
                <c:pt idx="21">
                  <c:v>43344</c:v>
                </c:pt>
                <c:pt idx="22">
                  <c:v>43374</c:v>
                </c:pt>
                <c:pt idx="23">
                  <c:v>43405</c:v>
                </c:pt>
                <c:pt idx="24">
                  <c:v>43435</c:v>
                </c:pt>
                <c:pt idx="25">
                  <c:v>43466</c:v>
                </c:pt>
                <c:pt idx="26">
                  <c:v>43497</c:v>
                </c:pt>
                <c:pt idx="27">
                  <c:v>43525</c:v>
                </c:pt>
                <c:pt idx="28">
                  <c:v>43556</c:v>
                </c:pt>
                <c:pt idx="29">
                  <c:v>43586</c:v>
                </c:pt>
                <c:pt idx="30">
                  <c:v>43617</c:v>
                </c:pt>
                <c:pt idx="31">
                  <c:v>43647</c:v>
                </c:pt>
                <c:pt idx="32">
                  <c:v>43678</c:v>
                </c:pt>
                <c:pt idx="33">
                  <c:v>43709</c:v>
                </c:pt>
                <c:pt idx="34">
                  <c:v>43739</c:v>
                </c:pt>
                <c:pt idx="35">
                  <c:v>43770</c:v>
                </c:pt>
                <c:pt idx="36">
                  <c:v>43800</c:v>
                </c:pt>
                <c:pt idx="37">
                  <c:v>43831</c:v>
                </c:pt>
                <c:pt idx="38">
                  <c:v>43862</c:v>
                </c:pt>
                <c:pt idx="39">
                  <c:v>43891</c:v>
                </c:pt>
                <c:pt idx="40">
                  <c:v>43922</c:v>
                </c:pt>
                <c:pt idx="41">
                  <c:v>43952</c:v>
                </c:pt>
                <c:pt idx="42">
                  <c:v>43983</c:v>
                </c:pt>
                <c:pt idx="43">
                  <c:v>44013</c:v>
                </c:pt>
                <c:pt idx="44">
                  <c:v>44044</c:v>
                </c:pt>
                <c:pt idx="45">
                  <c:v>44075</c:v>
                </c:pt>
                <c:pt idx="46">
                  <c:v>44105</c:v>
                </c:pt>
                <c:pt idx="47">
                  <c:v>44136</c:v>
                </c:pt>
                <c:pt idx="48">
                  <c:v>44166</c:v>
                </c:pt>
              </c:numCache>
            </c:numRef>
          </c:cat>
          <c:val>
            <c:numRef>
              <c:f>EstimacionesCons!$K$6:$K$54</c:f>
              <c:numCache>
                <c:formatCode>0.00</c:formatCode>
                <c:ptCount val="49"/>
                <c:pt idx="0">
                  <c:v>8.2532054208535008</c:v>
                </c:pt>
                <c:pt idx="1">
                  <c:v>8.2161169497650803</c:v>
                </c:pt>
                <c:pt idx="2">
                  <c:v>8.3687067976482297</c:v>
                </c:pt>
                <c:pt idx="3">
                  <c:v>8.2889079349128902</c:v>
                </c:pt>
                <c:pt idx="4">
                  <c:v>8.5536849327226694</c:v>
                </c:pt>
                <c:pt idx="5">
                  <c:v>8.6305976523524492</c:v>
                </c:pt>
                <c:pt idx="6">
                  <c:v>8.82050131967463</c:v>
                </c:pt>
                <c:pt idx="7">
                  <c:v>8.9107633552584993</c:v>
                </c:pt>
                <c:pt idx="8">
                  <c:v>8.9480793949868591</c:v>
                </c:pt>
                <c:pt idx="9">
                  <c:v>8.9551250661870707</c:v>
                </c:pt>
                <c:pt idx="10">
                  <c:v>9.0046991069869495</c:v>
                </c:pt>
                <c:pt idx="11">
                  <c:v>8.76890312466473</c:v>
                </c:pt>
                <c:pt idx="12">
                  <c:v>8.6555966907219304</c:v>
                </c:pt>
                <c:pt idx="13">
                  <c:v>8.5579686155119106</c:v>
                </c:pt>
                <c:pt idx="14">
                  <c:v>8.6584997644427109</c:v>
                </c:pt>
                <c:pt idx="15">
                  <c:v>8.5403446924450996</c:v>
                </c:pt>
                <c:pt idx="16">
                  <c:v>9.1938498324878797</c:v>
                </c:pt>
                <c:pt idx="17">
                  <c:v>9.3751150117952609</c:v>
                </c:pt>
                <c:pt idx="18">
                  <c:v>9.3291097200581401</c:v>
                </c:pt>
                <c:pt idx="19">
                  <c:v>9.5443676111214408</c:v>
                </c:pt>
                <c:pt idx="20">
                  <c:v>9.7063585720159704</c:v>
                </c:pt>
                <c:pt idx="21">
                  <c:v>9.7706840429178996</c:v>
                </c:pt>
                <c:pt idx="22">
                  <c:v>9.7833100747174804</c:v>
                </c:pt>
                <c:pt idx="23">
                  <c:v>9.4407901641118208</c:v>
                </c:pt>
                <c:pt idx="24">
                  <c:v>9.1740185453240208</c:v>
                </c:pt>
                <c:pt idx="25">
                  <c:v>9.3120465358997393</c:v>
                </c:pt>
                <c:pt idx="26">
                  <c:v>9.3877010361021807</c:v>
                </c:pt>
                <c:pt idx="27">
                  <c:v>9.2668004179261008</c:v>
                </c:pt>
                <c:pt idx="28">
                  <c:v>9.8653427822170308</c:v>
                </c:pt>
                <c:pt idx="29">
                  <c:v>10.019257537383499</c:v>
                </c:pt>
                <c:pt idx="30">
                  <c:v>9.9292669022408493</c:v>
                </c:pt>
                <c:pt idx="31">
                  <c:v>10.237863278374601</c:v>
                </c:pt>
                <c:pt idx="32">
                  <c:v>10.496713784870799</c:v>
                </c:pt>
                <c:pt idx="33">
                  <c:v>10.6515460612162</c:v>
                </c:pt>
                <c:pt idx="34">
                  <c:v>10.69479387524</c:v>
                </c:pt>
                <c:pt idx="35">
                  <c:v>10.347632736805201</c:v>
                </c:pt>
                <c:pt idx="36">
                  <c:v>10.0830331521527</c:v>
                </c:pt>
                <c:pt idx="37">
                  <c:v>10.213712390647901</c:v>
                </c:pt>
                <c:pt idx="38">
                  <c:v>10.277631577054301</c:v>
                </c:pt>
                <c:pt idx="39">
                  <c:v>10.1269420828355</c:v>
                </c:pt>
                <c:pt idx="40">
                  <c:v>10.761683725872899</c:v>
                </c:pt>
                <c:pt idx="41">
                  <c:v>10.9130632675865</c:v>
                </c:pt>
                <c:pt idx="42">
                  <c:v>10.7956263785826</c:v>
                </c:pt>
                <c:pt idx="43">
                  <c:v>11.112062409821</c:v>
                </c:pt>
                <c:pt idx="44">
                  <c:v>11.370245104317201</c:v>
                </c:pt>
                <c:pt idx="45">
                  <c:v>11.517246155518301</c:v>
                </c:pt>
                <c:pt idx="46">
                  <c:v>11.685273705974</c:v>
                </c:pt>
                <c:pt idx="47">
                  <c:v>11.428260300770599</c:v>
                </c:pt>
                <c:pt idx="48">
                  <c:v>11.252804770345801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EstimacionesCons!$L$5</c:f>
              <c:strCache>
                <c:ptCount val="1"/>
                <c:pt idx="0">
                  <c:v>Base High</c:v>
                </c:pt>
              </c:strCache>
            </c:strRef>
          </c:tx>
          <c:marker>
            <c:symbol val="none"/>
          </c:marker>
          <c:cat>
            <c:numRef>
              <c:f>EstimacionesCons!$J$6:$J$54</c:f>
              <c:numCache>
                <c:formatCode>m/d/yyyy</c:formatCode>
                <c:ptCount val="49"/>
                <c:pt idx="0">
                  <c:v>42705</c:v>
                </c:pt>
                <c:pt idx="1">
                  <c:v>42736</c:v>
                </c:pt>
                <c:pt idx="2">
                  <c:v>42767</c:v>
                </c:pt>
                <c:pt idx="3">
                  <c:v>42795</c:v>
                </c:pt>
                <c:pt idx="4">
                  <c:v>42826</c:v>
                </c:pt>
                <c:pt idx="5">
                  <c:v>42856</c:v>
                </c:pt>
                <c:pt idx="6">
                  <c:v>42887</c:v>
                </c:pt>
                <c:pt idx="7">
                  <c:v>42917</c:v>
                </c:pt>
                <c:pt idx="8">
                  <c:v>42948</c:v>
                </c:pt>
                <c:pt idx="9">
                  <c:v>42979</c:v>
                </c:pt>
                <c:pt idx="10">
                  <c:v>43009</c:v>
                </c:pt>
                <c:pt idx="11">
                  <c:v>43040</c:v>
                </c:pt>
                <c:pt idx="12">
                  <c:v>43070</c:v>
                </c:pt>
                <c:pt idx="13">
                  <c:v>43101</c:v>
                </c:pt>
                <c:pt idx="14">
                  <c:v>43132</c:v>
                </c:pt>
                <c:pt idx="15">
                  <c:v>43160</c:v>
                </c:pt>
                <c:pt idx="16">
                  <c:v>43191</c:v>
                </c:pt>
                <c:pt idx="17">
                  <c:v>43221</c:v>
                </c:pt>
                <c:pt idx="18">
                  <c:v>43252</c:v>
                </c:pt>
                <c:pt idx="19">
                  <c:v>43282</c:v>
                </c:pt>
                <c:pt idx="20">
                  <c:v>43313</c:v>
                </c:pt>
                <c:pt idx="21">
                  <c:v>43344</c:v>
                </c:pt>
                <c:pt idx="22">
                  <c:v>43374</c:v>
                </c:pt>
                <c:pt idx="23">
                  <c:v>43405</c:v>
                </c:pt>
                <c:pt idx="24">
                  <c:v>43435</c:v>
                </c:pt>
                <c:pt idx="25">
                  <c:v>43466</c:v>
                </c:pt>
                <c:pt idx="26">
                  <c:v>43497</c:v>
                </c:pt>
                <c:pt idx="27">
                  <c:v>43525</c:v>
                </c:pt>
                <c:pt idx="28">
                  <c:v>43556</c:v>
                </c:pt>
                <c:pt idx="29">
                  <c:v>43586</c:v>
                </c:pt>
                <c:pt idx="30">
                  <c:v>43617</c:v>
                </c:pt>
                <c:pt idx="31">
                  <c:v>43647</c:v>
                </c:pt>
                <c:pt idx="32">
                  <c:v>43678</c:v>
                </c:pt>
                <c:pt idx="33">
                  <c:v>43709</c:v>
                </c:pt>
                <c:pt idx="34">
                  <c:v>43739</c:v>
                </c:pt>
                <c:pt idx="35">
                  <c:v>43770</c:v>
                </c:pt>
                <c:pt idx="36">
                  <c:v>43800</c:v>
                </c:pt>
                <c:pt idx="37">
                  <c:v>43831</c:v>
                </c:pt>
                <c:pt idx="38">
                  <c:v>43862</c:v>
                </c:pt>
                <c:pt idx="39">
                  <c:v>43891</c:v>
                </c:pt>
                <c:pt idx="40">
                  <c:v>43922</c:v>
                </c:pt>
                <c:pt idx="41">
                  <c:v>43952</c:v>
                </c:pt>
                <c:pt idx="42">
                  <c:v>43983</c:v>
                </c:pt>
                <c:pt idx="43">
                  <c:v>44013</c:v>
                </c:pt>
                <c:pt idx="44">
                  <c:v>44044</c:v>
                </c:pt>
                <c:pt idx="45">
                  <c:v>44075</c:v>
                </c:pt>
                <c:pt idx="46">
                  <c:v>44105</c:v>
                </c:pt>
                <c:pt idx="47">
                  <c:v>44136</c:v>
                </c:pt>
                <c:pt idx="48">
                  <c:v>44166</c:v>
                </c:pt>
              </c:numCache>
            </c:numRef>
          </c:cat>
          <c:val>
            <c:numRef>
              <c:f>EstimacionesCons!$L$6:$L$54</c:f>
              <c:numCache>
                <c:formatCode>0.00</c:formatCode>
                <c:ptCount val="49"/>
                <c:pt idx="0">
                  <c:v>8.4552352770846593</c:v>
                </c:pt>
                <c:pt idx="1">
                  <c:v>8.4230319908322802</c:v>
                </c:pt>
                <c:pt idx="2">
                  <c:v>8.5787134638812397</c:v>
                </c:pt>
                <c:pt idx="3">
                  <c:v>8.4984680982346408</c:v>
                </c:pt>
                <c:pt idx="4">
                  <c:v>8.77121576434023</c:v>
                </c:pt>
                <c:pt idx="5">
                  <c:v>8.8500086079265294</c:v>
                </c:pt>
                <c:pt idx="6">
                  <c:v>9.0437415808855004</c:v>
                </c:pt>
                <c:pt idx="7">
                  <c:v>9.1328376952517196</c:v>
                </c:pt>
                <c:pt idx="8">
                  <c:v>9.1670094373768904</c:v>
                </c:pt>
                <c:pt idx="9">
                  <c:v>9.1746726358881592</c:v>
                </c:pt>
                <c:pt idx="10">
                  <c:v>9.2249292444076296</c:v>
                </c:pt>
                <c:pt idx="11">
                  <c:v>8.9877802344410096</c:v>
                </c:pt>
                <c:pt idx="12">
                  <c:v>8.8689525506267994</c:v>
                </c:pt>
                <c:pt idx="13">
                  <c:v>8.7676128963580897</c:v>
                </c:pt>
                <c:pt idx="14">
                  <c:v>8.8772704176211406</c:v>
                </c:pt>
                <c:pt idx="15">
                  <c:v>8.7777974317289509</c:v>
                </c:pt>
                <c:pt idx="16">
                  <c:v>9.4207911448315809</c:v>
                </c:pt>
                <c:pt idx="17">
                  <c:v>9.6952440095006693</c:v>
                </c:pt>
                <c:pt idx="18">
                  <c:v>9.7278061767843305</c:v>
                </c:pt>
                <c:pt idx="19">
                  <c:v>10.0494595751729</c:v>
                </c:pt>
                <c:pt idx="20">
                  <c:v>10.315252221332701</c:v>
                </c:pt>
                <c:pt idx="21">
                  <c:v>10.483177754140399</c:v>
                </c:pt>
                <c:pt idx="22">
                  <c:v>10.5871111382828</c:v>
                </c:pt>
                <c:pt idx="23">
                  <c:v>10.310591448352801</c:v>
                </c:pt>
                <c:pt idx="24">
                  <c:v>10.119171179347401</c:v>
                </c:pt>
                <c:pt idx="25">
                  <c:v>10.385716502553899</c:v>
                </c:pt>
                <c:pt idx="26">
                  <c:v>10.583255524683601</c:v>
                </c:pt>
                <c:pt idx="27">
                  <c:v>10.5627291985769</c:v>
                </c:pt>
                <c:pt idx="28">
                  <c:v>11.4025837926904</c:v>
                </c:pt>
                <c:pt idx="29">
                  <c:v>11.7399038297464</c:v>
                </c:pt>
                <c:pt idx="30">
                  <c:v>11.7911389545216</c:v>
                </c:pt>
                <c:pt idx="31">
                  <c:v>12.336002078425199</c:v>
                </c:pt>
                <c:pt idx="32">
                  <c:v>12.831329587719599</c:v>
                </c:pt>
                <c:pt idx="33">
                  <c:v>13.212528160011299</c:v>
                </c:pt>
                <c:pt idx="34">
                  <c:v>13.451468040404601</c:v>
                </c:pt>
                <c:pt idx="35">
                  <c:v>13.1983149314075</c:v>
                </c:pt>
                <c:pt idx="36">
                  <c:v>13.050574032322301</c:v>
                </c:pt>
                <c:pt idx="37">
                  <c:v>13.4249992192901</c:v>
                </c:pt>
                <c:pt idx="38">
                  <c:v>13.712510981556999</c:v>
                </c:pt>
                <c:pt idx="39">
                  <c:v>13.718721269967199</c:v>
                </c:pt>
                <c:pt idx="40">
                  <c:v>14.8337584037283</c:v>
                </c:pt>
                <c:pt idx="41">
                  <c:v>15.3057562469763</c:v>
                </c:pt>
                <c:pt idx="42">
                  <c:v>15.399736953344201</c:v>
                </c:pt>
                <c:pt idx="43">
                  <c:v>16.1393572371361</c:v>
                </c:pt>
                <c:pt idx="44">
                  <c:v>16.810229135858801</c:v>
                </c:pt>
                <c:pt idx="45">
                  <c:v>17.3367218929356</c:v>
                </c:pt>
                <c:pt idx="46">
                  <c:v>17.9062619255307</c:v>
                </c:pt>
                <c:pt idx="47">
                  <c:v>17.827386988166701</c:v>
                </c:pt>
                <c:pt idx="48">
                  <c:v>17.881405197741898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EstimacionesCons!$M$5</c:f>
              <c:strCache>
                <c:ptCount val="1"/>
                <c:pt idx="0">
                  <c:v>BasePromedio</c:v>
                </c:pt>
              </c:strCache>
            </c:strRef>
          </c:tx>
          <c:marker>
            <c:symbol val="none"/>
          </c:marker>
          <c:cat>
            <c:numRef>
              <c:f>EstimacionesCons!$J$6:$J$54</c:f>
              <c:numCache>
                <c:formatCode>m/d/yyyy</c:formatCode>
                <c:ptCount val="49"/>
                <c:pt idx="0">
                  <c:v>42705</c:v>
                </c:pt>
                <c:pt idx="1">
                  <c:v>42736</c:v>
                </c:pt>
                <c:pt idx="2">
                  <c:v>42767</c:v>
                </c:pt>
                <c:pt idx="3">
                  <c:v>42795</c:v>
                </c:pt>
                <c:pt idx="4">
                  <c:v>42826</c:v>
                </c:pt>
                <c:pt idx="5">
                  <c:v>42856</c:v>
                </c:pt>
                <c:pt idx="6">
                  <c:v>42887</c:v>
                </c:pt>
                <c:pt idx="7">
                  <c:v>42917</c:v>
                </c:pt>
                <c:pt idx="8">
                  <c:v>42948</c:v>
                </c:pt>
                <c:pt idx="9">
                  <c:v>42979</c:v>
                </c:pt>
                <c:pt idx="10">
                  <c:v>43009</c:v>
                </c:pt>
                <c:pt idx="11">
                  <c:v>43040</c:v>
                </c:pt>
                <c:pt idx="12">
                  <c:v>43070</c:v>
                </c:pt>
                <c:pt idx="13">
                  <c:v>43101</c:v>
                </c:pt>
                <c:pt idx="14">
                  <c:v>43132</c:v>
                </c:pt>
                <c:pt idx="15">
                  <c:v>43160</c:v>
                </c:pt>
                <c:pt idx="16">
                  <c:v>43191</c:v>
                </c:pt>
                <c:pt idx="17">
                  <c:v>43221</c:v>
                </c:pt>
                <c:pt idx="18">
                  <c:v>43252</c:v>
                </c:pt>
                <c:pt idx="19">
                  <c:v>43282</c:v>
                </c:pt>
                <c:pt idx="20">
                  <c:v>43313</c:v>
                </c:pt>
                <c:pt idx="21">
                  <c:v>43344</c:v>
                </c:pt>
                <c:pt idx="22">
                  <c:v>43374</c:v>
                </c:pt>
                <c:pt idx="23">
                  <c:v>43405</c:v>
                </c:pt>
                <c:pt idx="24">
                  <c:v>43435</c:v>
                </c:pt>
                <c:pt idx="25">
                  <c:v>43466</c:v>
                </c:pt>
                <c:pt idx="26">
                  <c:v>43497</c:v>
                </c:pt>
                <c:pt idx="27">
                  <c:v>43525</c:v>
                </c:pt>
                <c:pt idx="28">
                  <c:v>43556</c:v>
                </c:pt>
                <c:pt idx="29">
                  <c:v>43586</c:v>
                </c:pt>
                <c:pt idx="30">
                  <c:v>43617</c:v>
                </c:pt>
                <c:pt idx="31">
                  <c:v>43647</c:v>
                </c:pt>
                <c:pt idx="32">
                  <c:v>43678</c:v>
                </c:pt>
                <c:pt idx="33">
                  <c:v>43709</c:v>
                </c:pt>
                <c:pt idx="34">
                  <c:v>43739</c:v>
                </c:pt>
                <c:pt idx="35">
                  <c:v>43770</c:v>
                </c:pt>
                <c:pt idx="36">
                  <c:v>43800</c:v>
                </c:pt>
                <c:pt idx="37">
                  <c:v>43831</c:v>
                </c:pt>
                <c:pt idx="38">
                  <c:v>43862</c:v>
                </c:pt>
                <c:pt idx="39">
                  <c:v>43891</c:v>
                </c:pt>
                <c:pt idx="40">
                  <c:v>43922</c:v>
                </c:pt>
                <c:pt idx="41">
                  <c:v>43952</c:v>
                </c:pt>
                <c:pt idx="42">
                  <c:v>43983</c:v>
                </c:pt>
                <c:pt idx="43">
                  <c:v>44013</c:v>
                </c:pt>
                <c:pt idx="44">
                  <c:v>44044</c:v>
                </c:pt>
                <c:pt idx="45">
                  <c:v>44075</c:v>
                </c:pt>
                <c:pt idx="46">
                  <c:v>44105</c:v>
                </c:pt>
                <c:pt idx="47">
                  <c:v>44136</c:v>
                </c:pt>
                <c:pt idx="48">
                  <c:v>44166</c:v>
                </c:pt>
              </c:numCache>
            </c:numRef>
          </c:cat>
          <c:val>
            <c:numRef>
              <c:f>EstimacionesCons!$M$6:$M$54</c:f>
              <c:numCache>
                <c:formatCode>0.00</c:formatCode>
                <c:ptCount val="49"/>
                <c:pt idx="0">
                  <c:v>8.3542203489690792</c:v>
                </c:pt>
                <c:pt idx="1">
                  <c:v>8.3195744702986794</c:v>
                </c:pt>
                <c:pt idx="2">
                  <c:v>8.4737101307647347</c:v>
                </c:pt>
                <c:pt idx="3">
                  <c:v>8.3936880165737655</c:v>
                </c:pt>
                <c:pt idx="4">
                  <c:v>8.6624503485314488</c:v>
                </c:pt>
                <c:pt idx="5">
                  <c:v>8.7403031301394876</c:v>
                </c:pt>
                <c:pt idx="6">
                  <c:v>8.9321214502800608</c:v>
                </c:pt>
                <c:pt idx="7">
                  <c:v>9.1294154152251572</c:v>
                </c:pt>
                <c:pt idx="8">
                  <c:v>9.2089899770223944</c:v>
                </c:pt>
                <c:pt idx="9">
                  <c:v>9.2254402653427903</c:v>
                </c:pt>
                <c:pt idx="10">
                  <c:v>9.3371988053759996</c:v>
                </c:pt>
                <c:pt idx="11">
                  <c:v>8.804266431213021</c:v>
                </c:pt>
                <c:pt idx="12">
                  <c:v>8.5510493594105732</c:v>
                </c:pt>
                <c:pt idx="13">
                  <c:v>8.3374608513698725</c:v>
                </c:pt>
                <c:pt idx="14">
                  <c:v>8.5599854216114348</c:v>
                </c:pt>
                <c:pt idx="15">
                  <c:v>8.3262708733615636</c:v>
                </c:pt>
                <c:pt idx="16">
                  <c:v>9.6976074309412645</c:v>
                </c:pt>
                <c:pt idx="17">
                  <c:v>10.219918031996786</c:v>
                </c:pt>
                <c:pt idx="18">
                  <c:v>10.204068682454874</c:v>
                </c:pt>
                <c:pt idx="19">
                  <c:v>10.836547481644631</c:v>
                </c:pt>
                <c:pt idx="20">
                  <c:v>11.357044785025128</c:v>
                </c:pt>
                <c:pt idx="21">
                  <c:v>11.646876965412021</c:v>
                </c:pt>
                <c:pt idx="22">
                  <c:v>11.794336102762028</c:v>
                </c:pt>
                <c:pt idx="23">
                  <c:v>11.005812671005463</c:v>
                </c:pt>
                <c:pt idx="24">
                  <c:v>10.444125230429833</c:v>
                </c:pt>
                <c:pt idx="25">
                  <c:v>10.92594869827154</c:v>
                </c:pt>
                <c:pt idx="26">
                  <c:v>11.259325462349919</c:v>
                </c:pt>
                <c:pt idx="27">
                  <c:v>11.083909809226185</c:v>
                </c:pt>
                <c:pt idx="28">
                  <c:v>12.852723160996931</c:v>
                </c:pt>
                <c:pt idx="29">
                  <c:v>13.505826343968019</c:v>
                </c:pt>
                <c:pt idx="30">
                  <c:v>13.452904477865783</c:v>
                </c:pt>
                <c:pt idx="31">
                  <c:v>14.615834869313362</c:v>
                </c:pt>
                <c:pt idx="32">
                  <c:v>15.690106845627383</c:v>
                </c:pt>
                <c:pt idx="33">
                  <c:v>16.48326547180735</c:v>
                </c:pt>
                <c:pt idx="34">
                  <c:v>16.912070050649845</c:v>
                </c:pt>
                <c:pt idx="35">
                  <c:v>15.987056290384714</c:v>
                </c:pt>
                <c:pt idx="36">
                  <c:v>15.37112681675046</c:v>
                </c:pt>
                <c:pt idx="37">
                  <c:v>15.572496818002252</c:v>
                </c:pt>
                <c:pt idx="38">
                  <c:v>15.711404320752829</c:v>
                </c:pt>
                <c:pt idx="39">
                  <c:v>15.654631722269405</c:v>
                </c:pt>
                <c:pt idx="40">
                  <c:v>16.343867545344228</c:v>
                </c:pt>
                <c:pt idx="41">
                  <c:v>16.582700631930201</c:v>
                </c:pt>
                <c:pt idx="42">
                  <c:v>16.573799387820308</c:v>
                </c:pt>
                <c:pt idx="43">
                  <c:v>16.974699316997178</c:v>
                </c:pt>
                <c:pt idx="44">
                  <c:v>17.321919885465292</c:v>
                </c:pt>
                <c:pt idx="45">
                  <c:v>17.570309015277331</c:v>
                </c:pt>
                <c:pt idx="46">
                  <c:v>17.839789254503177</c:v>
                </c:pt>
                <c:pt idx="47">
                  <c:v>17.71829145893625</c:v>
                </c:pt>
                <c:pt idx="48">
                  <c:v>17.67416332551527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115968"/>
        <c:axId val="124510976"/>
      </c:lineChart>
      <c:dateAx>
        <c:axId val="124115968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crossAx val="124510976"/>
        <c:crosses val="autoZero"/>
        <c:auto val="1"/>
        <c:lblOffset val="100"/>
        <c:baseTimeUnit val="months"/>
      </c:dateAx>
      <c:valAx>
        <c:axId val="124510976"/>
        <c:scaling>
          <c:orientation val="minMax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crossAx val="124115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Escenario Adverso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EstimacionesCons!$O$5</c:f>
              <c:strCache>
                <c:ptCount val="1"/>
                <c:pt idx="0">
                  <c:v>AdversoMean</c:v>
                </c:pt>
              </c:strCache>
            </c:strRef>
          </c:tx>
          <c:marker>
            <c:symbol val="none"/>
          </c:marker>
          <c:cat>
            <c:numRef>
              <c:f>EstimacionesCons!$J$6:$J$54</c:f>
              <c:numCache>
                <c:formatCode>m/d/yyyy</c:formatCode>
                <c:ptCount val="49"/>
                <c:pt idx="0">
                  <c:v>42705</c:v>
                </c:pt>
                <c:pt idx="1">
                  <c:v>42736</c:v>
                </c:pt>
                <c:pt idx="2">
                  <c:v>42767</c:v>
                </c:pt>
                <c:pt idx="3">
                  <c:v>42795</c:v>
                </c:pt>
                <c:pt idx="4">
                  <c:v>42826</c:v>
                </c:pt>
                <c:pt idx="5">
                  <c:v>42856</c:v>
                </c:pt>
                <c:pt idx="6">
                  <c:v>42887</c:v>
                </c:pt>
                <c:pt idx="7">
                  <c:v>42917</c:v>
                </c:pt>
                <c:pt idx="8">
                  <c:v>42948</c:v>
                </c:pt>
                <c:pt idx="9">
                  <c:v>42979</c:v>
                </c:pt>
                <c:pt idx="10">
                  <c:v>43009</c:v>
                </c:pt>
                <c:pt idx="11">
                  <c:v>43040</c:v>
                </c:pt>
                <c:pt idx="12">
                  <c:v>43070</c:v>
                </c:pt>
                <c:pt idx="13">
                  <c:v>43101</c:v>
                </c:pt>
                <c:pt idx="14">
                  <c:v>43132</c:v>
                </c:pt>
                <c:pt idx="15">
                  <c:v>43160</c:v>
                </c:pt>
                <c:pt idx="16">
                  <c:v>43191</c:v>
                </c:pt>
                <c:pt idx="17">
                  <c:v>43221</c:v>
                </c:pt>
                <c:pt idx="18">
                  <c:v>43252</c:v>
                </c:pt>
                <c:pt idx="19">
                  <c:v>43282</c:v>
                </c:pt>
                <c:pt idx="20">
                  <c:v>43313</c:v>
                </c:pt>
                <c:pt idx="21">
                  <c:v>43344</c:v>
                </c:pt>
                <c:pt idx="22">
                  <c:v>43374</c:v>
                </c:pt>
                <c:pt idx="23">
                  <c:v>43405</c:v>
                </c:pt>
                <c:pt idx="24">
                  <c:v>43435</c:v>
                </c:pt>
                <c:pt idx="25">
                  <c:v>43466</c:v>
                </c:pt>
                <c:pt idx="26">
                  <c:v>43497</c:v>
                </c:pt>
                <c:pt idx="27">
                  <c:v>43525</c:v>
                </c:pt>
                <c:pt idx="28">
                  <c:v>43556</c:v>
                </c:pt>
                <c:pt idx="29">
                  <c:v>43586</c:v>
                </c:pt>
                <c:pt idx="30">
                  <c:v>43617</c:v>
                </c:pt>
                <c:pt idx="31">
                  <c:v>43647</c:v>
                </c:pt>
                <c:pt idx="32">
                  <c:v>43678</c:v>
                </c:pt>
                <c:pt idx="33">
                  <c:v>43709</c:v>
                </c:pt>
                <c:pt idx="34">
                  <c:v>43739</c:v>
                </c:pt>
                <c:pt idx="35">
                  <c:v>43770</c:v>
                </c:pt>
                <c:pt idx="36">
                  <c:v>43800</c:v>
                </c:pt>
                <c:pt idx="37">
                  <c:v>43831</c:v>
                </c:pt>
                <c:pt idx="38">
                  <c:v>43862</c:v>
                </c:pt>
                <c:pt idx="39">
                  <c:v>43891</c:v>
                </c:pt>
                <c:pt idx="40">
                  <c:v>43922</c:v>
                </c:pt>
                <c:pt idx="41">
                  <c:v>43952</c:v>
                </c:pt>
                <c:pt idx="42">
                  <c:v>43983</c:v>
                </c:pt>
                <c:pt idx="43">
                  <c:v>44013</c:v>
                </c:pt>
                <c:pt idx="44">
                  <c:v>44044</c:v>
                </c:pt>
                <c:pt idx="45">
                  <c:v>44075</c:v>
                </c:pt>
                <c:pt idx="46">
                  <c:v>44105</c:v>
                </c:pt>
                <c:pt idx="47">
                  <c:v>44136</c:v>
                </c:pt>
                <c:pt idx="48">
                  <c:v>44166</c:v>
                </c:pt>
              </c:numCache>
            </c:numRef>
          </c:cat>
          <c:val>
            <c:numRef>
              <c:f>EstimacionesCons!$O$6:$O$54</c:f>
              <c:numCache>
                <c:formatCode>0.00</c:formatCode>
                <c:ptCount val="49"/>
                <c:pt idx="0">
                  <c:v>8.2532054208535008</c:v>
                </c:pt>
                <c:pt idx="1">
                  <c:v>8.2161169497650803</c:v>
                </c:pt>
                <c:pt idx="2">
                  <c:v>8.3687067976482297</c:v>
                </c:pt>
                <c:pt idx="3">
                  <c:v>8.2889079349128902</c:v>
                </c:pt>
                <c:pt idx="4">
                  <c:v>8.5536849327226694</c:v>
                </c:pt>
                <c:pt idx="5">
                  <c:v>8.6305976523524492</c:v>
                </c:pt>
                <c:pt idx="6">
                  <c:v>8.82050131967463</c:v>
                </c:pt>
                <c:pt idx="7">
                  <c:v>8.9107633552584993</c:v>
                </c:pt>
                <c:pt idx="8">
                  <c:v>8.9480793949868591</c:v>
                </c:pt>
                <c:pt idx="9">
                  <c:v>8.9551250661870707</c:v>
                </c:pt>
                <c:pt idx="10">
                  <c:v>9.0046991069869495</c:v>
                </c:pt>
                <c:pt idx="11">
                  <c:v>8.76890312466473</c:v>
                </c:pt>
                <c:pt idx="12">
                  <c:v>8.6555966907219304</c:v>
                </c:pt>
                <c:pt idx="13">
                  <c:v>8.5579686155119106</c:v>
                </c:pt>
                <c:pt idx="14">
                  <c:v>8.6584997644427109</c:v>
                </c:pt>
                <c:pt idx="15">
                  <c:v>8.5403446924450996</c:v>
                </c:pt>
                <c:pt idx="16">
                  <c:v>9.0963885550765706</c:v>
                </c:pt>
                <c:pt idx="17">
                  <c:v>9.18093074089429</c:v>
                </c:pt>
                <c:pt idx="18">
                  <c:v>9.0390316057159392</c:v>
                </c:pt>
                <c:pt idx="19">
                  <c:v>9.1794280704558098</c:v>
                </c:pt>
                <c:pt idx="20">
                  <c:v>9.2639062113124506</c:v>
                </c:pt>
                <c:pt idx="21">
                  <c:v>9.2540469804370407</c:v>
                </c:pt>
                <c:pt idx="22">
                  <c:v>9.2208220737040101</c:v>
                </c:pt>
                <c:pt idx="23">
                  <c:v>8.8522018172505206</c:v>
                </c:pt>
                <c:pt idx="24">
                  <c:v>8.5601140231785795</c:v>
                </c:pt>
                <c:pt idx="25">
                  <c:v>8.5588294067334196</c:v>
                </c:pt>
                <c:pt idx="26">
                  <c:v>8.5000597996593896</c:v>
                </c:pt>
                <c:pt idx="27">
                  <c:v>8.2772168082139892</c:v>
                </c:pt>
                <c:pt idx="28">
                  <c:v>8.7681577620059592</c:v>
                </c:pt>
                <c:pt idx="29">
                  <c:v>8.8632188410666792</c:v>
                </c:pt>
                <c:pt idx="30">
                  <c:v>8.7400671927661104</c:v>
                </c:pt>
                <c:pt idx="31">
                  <c:v>8.9257439942529402</c:v>
                </c:pt>
                <c:pt idx="32">
                  <c:v>9.0602477344629193</c:v>
                </c:pt>
                <c:pt idx="33">
                  <c:v>9.1032230714108398</c:v>
                </c:pt>
                <c:pt idx="34">
                  <c:v>9.1159197600179507</c:v>
                </c:pt>
                <c:pt idx="35">
                  <c:v>8.7967411740685097</c:v>
                </c:pt>
                <c:pt idx="36">
                  <c:v>8.5490438110217504</c:v>
                </c:pt>
                <c:pt idx="37">
                  <c:v>8.6861623320936197</c:v>
                </c:pt>
                <c:pt idx="38">
                  <c:v>8.7661950706422207</c:v>
                </c:pt>
                <c:pt idx="39">
                  <c:v>8.6611189429848299</c:v>
                </c:pt>
                <c:pt idx="40">
                  <c:v>9.2943802407257703</c:v>
                </c:pt>
                <c:pt idx="41">
                  <c:v>9.5135935656104103</c:v>
                </c:pt>
                <c:pt idx="42">
                  <c:v>9.5036471038034804</c:v>
                </c:pt>
                <c:pt idx="43">
                  <c:v>9.8265539157609396</c:v>
                </c:pt>
                <c:pt idx="44">
                  <c:v>10.1031674008686</c:v>
                </c:pt>
                <c:pt idx="45">
                  <c:v>10.281898741313601</c:v>
                </c:pt>
                <c:pt idx="46">
                  <c:v>10.503392663356401</c:v>
                </c:pt>
                <c:pt idx="47">
                  <c:v>10.346423664151301</c:v>
                </c:pt>
                <c:pt idx="48">
                  <c:v>10.257392096874099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EstimacionesCons!$P$5</c:f>
              <c:strCache>
                <c:ptCount val="1"/>
                <c:pt idx="0">
                  <c:v>Adverso High</c:v>
                </c:pt>
              </c:strCache>
            </c:strRef>
          </c:tx>
          <c:marker>
            <c:symbol val="none"/>
          </c:marker>
          <c:cat>
            <c:numRef>
              <c:f>EstimacionesCons!$J$6:$J$54</c:f>
              <c:numCache>
                <c:formatCode>m/d/yyyy</c:formatCode>
                <c:ptCount val="49"/>
                <c:pt idx="0">
                  <c:v>42705</c:v>
                </c:pt>
                <c:pt idx="1">
                  <c:v>42736</c:v>
                </c:pt>
                <c:pt idx="2">
                  <c:v>42767</c:v>
                </c:pt>
                <c:pt idx="3">
                  <c:v>42795</c:v>
                </c:pt>
                <c:pt idx="4">
                  <c:v>42826</c:v>
                </c:pt>
                <c:pt idx="5">
                  <c:v>42856</c:v>
                </c:pt>
                <c:pt idx="6">
                  <c:v>42887</c:v>
                </c:pt>
                <c:pt idx="7">
                  <c:v>42917</c:v>
                </c:pt>
                <c:pt idx="8">
                  <c:v>42948</c:v>
                </c:pt>
                <c:pt idx="9">
                  <c:v>42979</c:v>
                </c:pt>
                <c:pt idx="10">
                  <c:v>43009</c:v>
                </c:pt>
                <c:pt idx="11">
                  <c:v>43040</c:v>
                </c:pt>
                <c:pt idx="12">
                  <c:v>43070</c:v>
                </c:pt>
                <c:pt idx="13">
                  <c:v>43101</c:v>
                </c:pt>
                <c:pt idx="14">
                  <c:v>43132</c:v>
                </c:pt>
                <c:pt idx="15">
                  <c:v>43160</c:v>
                </c:pt>
                <c:pt idx="16">
                  <c:v>43191</c:v>
                </c:pt>
                <c:pt idx="17">
                  <c:v>43221</c:v>
                </c:pt>
                <c:pt idx="18">
                  <c:v>43252</c:v>
                </c:pt>
                <c:pt idx="19">
                  <c:v>43282</c:v>
                </c:pt>
                <c:pt idx="20">
                  <c:v>43313</c:v>
                </c:pt>
                <c:pt idx="21">
                  <c:v>43344</c:v>
                </c:pt>
                <c:pt idx="22">
                  <c:v>43374</c:v>
                </c:pt>
                <c:pt idx="23">
                  <c:v>43405</c:v>
                </c:pt>
                <c:pt idx="24">
                  <c:v>43435</c:v>
                </c:pt>
                <c:pt idx="25">
                  <c:v>43466</c:v>
                </c:pt>
                <c:pt idx="26">
                  <c:v>43497</c:v>
                </c:pt>
                <c:pt idx="27">
                  <c:v>43525</c:v>
                </c:pt>
                <c:pt idx="28">
                  <c:v>43556</c:v>
                </c:pt>
                <c:pt idx="29">
                  <c:v>43586</c:v>
                </c:pt>
                <c:pt idx="30">
                  <c:v>43617</c:v>
                </c:pt>
                <c:pt idx="31">
                  <c:v>43647</c:v>
                </c:pt>
                <c:pt idx="32">
                  <c:v>43678</c:v>
                </c:pt>
                <c:pt idx="33">
                  <c:v>43709</c:v>
                </c:pt>
                <c:pt idx="34">
                  <c:v>43739</c:v>
                </c:pt>
                <c:pt idx="35">
                  <c:v>43770</c:v>
                </c:pt>
                <c:pt idx="36">
                  <c:v>43800</c:v>
                </c:pt>
                <c:pt idx="37">
                  <c:v>43831</c:v>
                </c:pt>
                <c:pt idx="38">
                  <c:v>43862</c:v>
                </c:pt>
                <c:pt idx="39">
                  <c:v>43891</c:v>
                </c:pt>
                <c:pt idx="40">
                  <c:v>43922</c:v>
                </c:pt>
                <c:pt idx="41">
                  <c:v>43952</c:v>
                </c:pt>
                <c:pt idx="42">
                  <c:v>43983</c:v>
                </c:pt>
                <c:pt idx="43">
                  <c:v>44013</c:v>
                </c:pt>
                <c:pt idx="44">
                  <c:v>44044</c:v>
                </c:pt>
                <c:pt idx="45">
                  <c:v>44075</c:v>
                </c:pt>
                <c:pt idx="46">
                  <c:v>44105</c:v>
                </c:pt>
                <c:pt idx="47">
                  <c:v>44136</c:v>
                </c:pt>
                <c:pt idx="48">
                  <c:v>44166</c:v>
                </c:pt>
              </c:numCache>
            </c:numRef>
          </c:cat>
          <c:val>
            <c:numRef>
              <c:f>EstimacionesCons!$P$6:$P$54</c:f>
              <c:numCache>
                <c:formatCode>0.00</c:formatCode>
                <c:ptCount val="49"/>
                <c:pt idx="0">
                  <c:v>8.4552352770846593</c:v>
                </c:pt>
                <c:pt idx="1">
                  <c:v>8.4230319908322802</c:v>
                </c:pt>
                <c:pt idx="2">
                  <c:v>8.5787134638812397</c:v>
                </c:pt>
                <c:pt idx="3">
                  <c:v>8.4984680982346408</c:v>
                </c:pt>
                <c:pt idx="4">
                  <c:v>8.77121576434023</c:v>
                </c:pt>
                <c:pt idx="5">
                  <c:v>8.8500086079265294</c:v>
                </c:pt>
                <c:pt idx="6">
                  <c:v>9.0437415808855004</c:v>
                </c:pt>
                <c:pt idx="7">
                  <c:v>9.1328376952517196</c:v>
                </c:pt>
                <c:pt idx="8">
                  <c:v>9.1670094373768904</c:v>
                </c:pt>
                <c:pt idx="9">
                  <c:v>9.1746726358881592</c:v>
                </c:pt>
                <c:pt idx="10">
                  <c:v>9.2249292444076296</c:v>
                </c:pt>
                <c:pt idx="11">
                  <c:v>8.9877802344410096</c:v>
                </c:pt>
                <c:pt idx="12">
                  <c:v>8.8689525506267994</c:v>
                </c:pt>
                <c:pt idx="13">
                  <c:v>8.7676128963580897</c:v>
                </c:pt>
                <c:pt idx="14">
                  <c:v>8.8772704176211406</c:v>
                </c:pt>
                <c:pt idx="15">
                  <c:v>8.7777974317289509</c:v>
                </c:pt>
                <c:pt idx="16">
                  <c:v>9.3262330790576193</c:v>
                </c:pt>
                <c:pt idx="17">
                  <c:v>9.4998289385788208</c:v>
                </c:pt>
                <c:pt idx="18">
                  <c:v>9.4543696720422492</c:v>
                </c:pt>
                <c:pt idx="19">
                  <c:v>9.6799585982094705</c:v>
                </c:pt>
                <c:pt idx="20">
                  <c:v>9.8593324222355392</c:v>
                </c:pt>
                <c:pt idx="21">
                  <c:v>9.9406947414741396</c:v>
                </c:pt>
                <c:pt idx="22">
                  <c:v>9.9976882312496897</c:v>
                </c:pt>
                <c:pt idx="23">
                  <c:v>9.6979437143308491</c:v>
                </c:pt>
                <c:pt idx="24">
                  <c:v>9.4691699504026996</c:v>
                </c:pt>
                <c:pt idx="25">
                  <c:v>9.5701906836327701</c:v>
                </c:pt>
                <c:pt idx="26">
                  <c:v>9.6193370510690102</c:v>
                </c:pt>
                <c:pt idx="27">
                  <c:v>9.4760256242955307</c:v>
                </c:pt>
                <c:pt idx="28">
                  <c:v>10.1716360593734</c:v>
                </c:pt>
                <c:pt idx="29">
                  <c:v>10.408087410928101</c:v>
                </c:pt>
                <c:pt idx="30">
                  <c:v>10.4075592905959</c:v>
                </c:pt>
                <c:pt idx="31">
                  <c:v>10.767741328186499</c:v>
                </c:pt>
                <c:pt idx="32">
                  <c:v>11.0823528601757</c:v>
                </c:pt>
                <c:pt idx="33">
                  <c:v>11.2918805776991</c:v>
                </c:pt>
                <c:pt idx="34">
                  <c:v>11.4738727438481</c:v>
                </c:pt>
                <c:pt idx="35">
                  <c:v>11.2401108226003</c:v>
                </c:pt>
                <c:pt idx="36">
                  <c:v>11.083719327481999</c:v>
                </c:pt>
                <c:pt idx="37">
                  <c:v>11.4210088307003</c:v>
                </c:pt>
                <c:pt idx="38">
                  <c:v>11.6997213518645</c:v>
                </c:pt>
                <c:pt idx="39">
                  <c:v>11.7331826619072</c:v>
                </c:pt>
                <c:pt idx="40">
                  <c:v>12.804584907028699</c:v>
                </c:pt>
                <c:pt idx="41">
                  <c:v>13.3249549961083</c:v>
                </c:pt>
                <c:pt idx="42">
                  <c:v>13.541776560395499</c:v>
                </c:pt>
                <c:pt idx="43">
                  <c:v>14.245399915377099</c:v>
                </c:pt>
                <c:pt idx="44">
                  <c:v>14.905551269562601</c:v>
                </c:pt>
                <c:pt idx="45">
                  <c:v>15.4410666489311</c:v>
                </c:pt>
                <c:pt idx="46">
                  <c:v>16.058532028831898</c:v>
                </c:pt>
                <c:pt idx="47">
                  <c:v>16.106206150099201</c:v>
                </c:pt>
                <c:pt idx="48">
                  <c:v>16.2605360586046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EstimacionesCons!$Q$5</c:f>
              <c:strCache>
                <c:ptCount val="1"/>
                <c:pt idx="0">
                  <c:v>AdversoPromedio</c:v>
                </c:pt>
              </c:strCache>
            </c:strRef>
          </c:tx>
          <c:marker>
            <c:symbol val="none"/>
          </c:marker>
          <c:cat>
            <c:numRef>
              <c:f>EstimacionesCons!$J$6:$J$54</c:f>
              <c:numCache>
                <c:formatCode>m/d/yyyy</c:formatCode>
                <c:ptCount val="49"/>
                <c:pt idx="0">
                  <c:v>42705</c:v>
                </c:pt>
                <c:pt idx="1">
                  <c:v>42736</c:v>
                </c:pt>
                <c:pt idx="2">
                  <c:v>42767</c:v>
                </c:pt>
                <c:pt idx="3">
                  <c:v>42795</c:v>
                </c:pt>
                <c:pt idx="4">
                  <c:v>42826</c:v>
                </c:pt>
                <c:pt idx="5">
                  <c:v>42856</c:v>
                </c:pt>
                <c:pt idx="6">
                  <c:v>42887</c:v>
                </c:pt>
                <c:pt idx="7">
                  <c:v>42917</c:v>
                </c:pt>
                <c:pt idx="8">
                  <c:v>42948</c:v>
                </c:pt>
                <c:pt idx="9">
                  <c:v>42979</c:v>
                </c:pt>
                <c:pt idx="10">
                  <c:v>43009</c:v>
                </c:pt>
                <c:pt idx="11">
                  <c:v>43040</c:v>
                </c:pt>
                <c:pt idx="12">
                  <c:v>43070</c:v>
                </c:pt>
                <c:pt idx="13">
                  <c:v>43101</c:v>
                </c:pt>
                <c:pt idx="14">
                  <c:v>43132</c:v>
                </c:pt>
                <c:pt idx="15">
                  <c:v>43160</c:v>
                </c:pt>
                <c:pt idx="16">
                  <c:v>43191</c:v>
                </c:pt>
                <c:pt idx="17">
                  <c:v>43221</c:v>
                </c:pt>
                <c:pt idx="18">
                  <c:v>43252</c:v>
                </c:pt>
                <c:pt idx="19">
                  <c:v>43282</c:v>
                </c:pt>
                <c:pt idx="20">
                  <c:v>43313</c:v>
                </c:pt>
                <c:pt idx="21">
                  <c:v>43344</c:v>
                </c:pt>
                <c:pt idx="22">
                  <c:v>43374</c:v>
                </c:pt>
                <c:pt idx="23">
                  <c:v>43405</c:v>
                </c:pt>
                <c:pt idx="24">
                  <c:v>43435</c:v>
                </c:pt>
                <c:pt idx="25">
                  <c:v>43466</c:v>
                </c:pt>
                <c:pt idx="26">
                  <c:v>43497</c:v>
                </c:pt>
                <c:pt idx="27">
                  <c:v>43525</c:v>
                </c:pt>
                <c:pt idx="28">
                  <c:v>43556</c:v>
                </c:pt>
                <c:pt idx="29">
                  <c:v>43586</c:v>
                </c:pt>
                <c:pt idx="30">
                  <c:v>43617</c:v>
                </c:pt>
                <c:pt idx="31">
                  <c:v>43647</c:v>
                </c:pt>
                <c:pt idx="32">
                  <c:v>43678</c:v>
                </c:pt>
                <c:pt idx="33">
                  <c:v>43709</c:v>
                </c:pt>
                <c:pt idx="34">
                  <c:v>43739</c:v>
                </c:pt>
                <c:pt idx="35">
                  <c:v>43770</c:v>
                </c:pt>
                <c:pt idx="36">
                  <c:v>43800</c:v>
                </c:pt>
                <c:pt idx="37">
                  <c:v>43831</c:v>
                </c:pt>
                <c:pt idx="38">
                  <c:v>43862</c:v>
                </c:pt>
                <c:pt idx="39">
                  <c:v>43891</c:v>
                </c:pt>
                <c:pt idx="40">
                  <c:v>43922</c:v>
                </c:pt>
                <c:pt idx="41">
                  <c:v>43952</c:v>
                </c:pt>
                <c:pt idx="42">
                  <c:v>43983</c:v>
                </c:pt>
                <c:pt idx="43">
                  <c:v>44013</c:v>
                </c:pt>
                <c:pt idx="44">
                  <c:v>44044</c:v>
                </c:pt>
                <c:pt idx="45">
                  <c:v>44075</c:v>
                </c:pt>
                <c:pt idx="46">
                  <c:v>44105</c:v>
                </c:pt>
                <c:pt idx="47">
                  <c:v>44136</c:v>
                </c:pt>
                <c:pt idx="48">
                  <c:v>44166</c:v>
                </c:pt>
              </c:numCache>
            </c:numRef>
          </c:cat>
          <c:val>
            <c:numRef>
              <c:f>EstimacionesCons!$P$6:$P$54</c:f>
              <c:numCache>
                <c:formatCode>0.00</c:formatCode>
                <c:ptCount val="49"/>
                <c:pt idx="0">
                  <c:v>8.4552352770846593</c:v>
                </c:pt>
                <c:pt idx="1">
                  <c:v>8.4230319908322802</c:v>
                </c:pt>
                <c:pt idx="2">
                  <c:v>8.5787134638812397</c:v>
                </c:pt>
                <c:pt idx="3">
                  <c:v>8.4984680982346408</c:v>
                </c:pt>
                <c:pt idx="4">
                  <c:v>8.77121576434023</c:v>
                </c:pt>
                <c:pt idx="5">
                  <c:v>8.8500086079265294</c:v>
                </c:pt>
                <c:pt idx="6">
                  <c:v>9.0437415808855004</c:v>
                </c:pt>
                <c:pt idx="7">
                  <c:v>9.1328376952517196</c:v>
                </c:pt>
                <c:pt idx="8">
                  <c:v>9.1670094373768904</c:v>
                </c:pt>
                <c:pt idx="9">
                  <c:v>9.1746726358881592</c:v>
                </c:pt>
                <c:pt idx="10">
                  <c:v>9.2249292444076296</c:v>
                </c:pt>
                <c:pt idx="11">
                  <c:v>8.9877802344410096</c:v>
                </c:pt>
                <c:pt idx="12">
                  <c:v>8.8689525506267994</c:v>
                </c:pt>
                <c:pt idx="13">
                  <c:v>8.7676128963580897</c:v>
                </c:pt>
                <c:pt idx="14">
                  <c:v>8.8772704176211406</c:v>
                </c:pt>
                <c:pt idx="15">
                  <c:v>8.7777974317289509</c:v>
                </c:pt>
                <c:pt idx="16">
                  <c:v>9.3262330790576193</c:v>
                </c:pt>
                <c:pt idx="17">
                  <c:v>9.4998289385788208</c:v>
                </c:pt>
                <c:pt idx="18">
                  <c:v>9.4543696720422492</c:v>
                </c:pt>
                <c:pt idx="19">
                  <c:v>9.6799585982094705</c:v>
                </c:pt>
                <c:pt idx="20">
                  <c:v>9.8593324222355392</c:v>
                </c:pt>
                <c:pt idx="21">
                  <c:v>9.9406947414741396</c:v>
                </c:pt>
                <c:pt idx="22">
                  <c:v>9.9976882312496897</c:v>
                </c:pt>
                <c:pt idx="23">
                  <c:v>9.6979437143308491</c:v>
                </c:pt>
                <c:pt idx="24">
                  <c:v>9.4691699504026996</c:v>
                </c:pt>
                <c:pt idx="25">
                  <c:v>9.5701906836327701</c:v>
                </c:pt>
                <c:pt idx="26">
                  <c:v>9.6193370510690102</c:v>
                </c:pt>
                <c:pt idx="27">
                  <c:v>9.4760256242955307</c:v>
                </c:pt>
                <c:pt idx="28">
                  <c:v>10.1716360593734</c:v>
                </c:pt>
                <c:pt idx="29">
                  <c:v>10.408087410928101</c:v>
                </c:pt>
                <c:pt idx="30">
                  <c:v>10.4075592905959</c:v>
                </c:pt>
                <c:pt idx="31">
                  <c:v>10.767741328186499</c:v>
                </c:pt>
                <c:pt idx="32">
                  <c:v>11.0823528601757</c:v>
                </c:pt>
                <c:pt idx="33">
                  <c:v>11.2918805776991</c:v>
                </c:pt>
                <c:pt idx="34">
                  <c:v>11.4738727438481</c:v>
                </c:pt>
                <c:pt idx="35">
                  <c:v>11.2401108226003</c:v>
                </c:pt>
                <c:pt idx="36">
                  <c:v>11.083719327481999</c:v>
                </c:pt>
                <c:pt idx="37">
                  <c:v>11.4210088307003</c:v>
                </c:pt>
                <c:pt idx="38">
                  <c:v>11.6997213518645</c:v>
                </c:pt>
                <c:pt idx="39">
                  <c:v>11.7331826619072</c:v>
                </c:pt>
                <c:pt idx="40">
                  <c:v>12.804584907028699</c:v>
                </c:pt>
                <c:pt idx="41">
                  <c:v>13.3249549961083</c:v>
                </c:pt>
                <c:pt idx="42">
                  <c:v>13.541776560395499</c:v>
                </c:pt>
                <c:pt idx="43">
                  <c:v>14.245399915377099</c:v>
                </c:pt>
                <c:pt idx="44">
                  <c:v>14.905551269562601</c:v>
                </c:pt>
                <c:pt idx="45">
                  <c:v>15.4410666489311</c:v>
                </c:pt>
                <c:pt idx="46">
                  <c:v>16.058532028831898</c:v>
                </c:pt>
                <c:pt idx="47">
                  <c:v>16.106206150099201</c:v>
                </c:pt>
                <c:pt idx="48">
                  <c:v>16.2605360586046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22816"/>
        <c:axId val="125145088"/>
      </c:lineChart>
      <c:dateAx>
        <c:axId val="125122816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crossAx val="125145088"/>
        <c:crosses val="autoZero"/>
        <c:auto val="1"/>
        <c:lblOffset val="100"/>
        <c:baseTimeUnit val="months"/>
      </c:dateAx>
      <c:valAx>
        <c:axId val="125145088"/>
        <c:scaling>
          <c:orientation val="minMax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crossAx val="1251228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EstimacionesCons!$K$5</c:f>
              <c:strCache>
                <c:ptCount val="1"/>
                <c:pt idx="0">
                  <c:v>Base Mean</c:v>
                </c:pt>
              </c:strCache>
            </c:strRef>
          </c:tx>
          <c:marker>
            <c:symbol val="none"/>
          </c:marker>
          <c:val>
            <c:numRef>
              <c:f>EstimacionesCons!$K$6:$K$54</c:f>
              <c:numCache>
                <c:formatCode>0.00</c:formatCode>
                <c:ptCount val="49"/>
                <c:pt idx="0">
                  <c:v>8.2532054208535008</c:v>
                </c:pt>
                <c:pt idx="1">
                  <c:v>8.2161169497650803</c:v>
                </c:pt>
                <c:pt idx="2">
                  <c:v>8.3687067976482297</c:v>
                </c:pt>
                <c:pt idx="3">
                  <c:v>8.2889079349128902</c:v>
                </c:pt>
                <c:pt idx="4">
                  <c:v>8.5536849327226694</c:v>
                </c:pt>
                <c:pt idx="5">
                  <c:v>8.6305976523524492</c:v>
                </c:pt>
                <c:pt idx="6">
                  <c:v>8.82050131967463</c:v>
                </c:pt>
                <c:pt idx="7">
                  <c:v>8.9107633552584993</c:v>
                </c:pt>
                <c:pt idx="8">
                  <c:v>8.9480793949868591</c:v>
                </c:pt>
                <c:pt idx="9">
                  <c:v>8.9551250661870707</c:v>
                </c:pt>
                <c:pt idx="10">
                  <c:v>9.0046991069869495</c:v>
                </c:pt>
                <c:pt idx="11">
                  <c:v>8.76890312466473</c:v>
                </c:pt>
                <c:pt idx="12">
                  <c:v>8.6555966907219304</c:v>
                </c:pt>
                <c:pt idx="13">
                  <c:v>8.5579686155119106</c:v>
                </c:pt>
                <c:pt idx="14">
                  <c:v>8.6584997644427109</c:v>
                </c:pt>
                <c:pt idx="15">
                  <c:v>8.5403446924450996</c:v>
                </c:pt>
                <c:pt idx="16">
                  <c:v>9.1938498324878797</c:v>
                </c:pt>
                <c:pt idx="17">
                  <c:v>9.3751150117952609</c:v>
                </c:pt>
                <c:pt idx="18">
                  <c:v>9.3291097200581401</c:v>
                </c:pt>
                <c:pt idx="19">
                  <c:v>9.5443676111214408</c:v>
                </c:pt>
                <c:pt idx="20">
                  <c:v>9.7063585720159704</c:v>
                </c:pt>
                <c:pt idx="21">
                  <c:v>9.7706840429178996</c:v>
                </c:pt>
                <c:pt idx="22">
                  <c:v>9.7833100747174804</c:v>
                </c:pt>
                <c:pt idx="23">
                  <c:v>9.4407901641118208</c:v>
                </c:pt>
                <c:pt idx="24">
                  <c:v>9.1740185453240208</c:v>
                </c:pt>
                <c:pt idx="25">
                  <c:v>9.3120465358997393</c:v>
                </c:pt>
                <c:pt idx="26">
                  <c:v>9.3877010361021807</c:v>
                </c:pt>
                <c:pt idx="27">
                  <c:v>9.2668004179261008</c:v>
                </c:pt>
                <c:pt idx="28">
                  <c:v>9.8653427822170308</c:v>
                </c:pt>
                <c:pt idx="29">
                  <c:v>10.019257537383499</c:v>
                </c:pt>
                <c:pt idx="30">
                  <c:v>9.9292669022408493</c:v>
                </c:pt>
                <c:pt idx="31">
                  <c:v>10.237863278374601</c:v>
                </c:pt>
                <c:pt idx="32">
                  <c:v>10.496713784870799</c:v>
                </c:pt>
                <c:pt idx="33">
                  <c:v>10.6515460612162</c:v>
                </c:pt>
                <c:pt idx="34">
                  <c:v>10.69479387524</c:v>
                </c:pt>
                <c:pt idx="35">
                  <c:v>10.347632736805201</c:v>
                </c:pt>
                <c:pt idx="36">
                  <c:v>10.0830331521527</c:v>
                </c:pt>
                <c:pt idx="37">
                  <c:v>10.213712390647901</c:v>
                </c:pt>
                <c:pt idx="38">
                  <c:v>10.277631577054301</c:v>
                </c:pt>
                <c:pt idx="39">
                  <c:v>10.1269420828355</c:v>
                </c:pt>
                <c:pt idx="40">
                  <c:v>10.761683725872899</c:v>
                </c:pt>
                <c:pt idx="41">
                  <c:v>10.9130632675865</c:v>
                </c:pt>
                <c:pt idx="42">
                  <c:v>10.7956263785826</c:v>
                </c:pt>
                <c:pt idx="43">
                  <c:v>11.112062409821</c:v>
                </c:pt>
                <c:pt idx="44">
                  <c:v>11.370245104317201</c:v>
                </c:pt>
                <c:pt idx="45">
                  <c:v>11.517246155518301</c:v>
                </c:pt>
                <c:pt idx="46">
                  <c:v>11.685273705974</c:v>
                </c:pt>
                <c:pt idx="47">
                  <c:v>11.428260300770599</c:v>
                </c:pt>
                <c:pt idx="48">
                  <c:v>11.252804770345801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EstimacionesCons!$S$5</c:f>
              <c:strCache>
                <c:ptCount val="1"/>
                <c:pt idx="0">
                  <c:v>PM3</c:v>
                </c:pt>
              </c:strCache>
            </c:strRef>
          </c:tx>
          <c:marker>
            <c:symbol val="none"/>
          </c:marker>
          <c:val>
            <c:numRef>
              <c:f>EstimacionesCons!$S$6:$S$54</c:f>
              <c:numCache>
                <c:formatCode>0.00</c:formatCode>
                <c:ptCount val="49"/>
                <c:pt idx="1">
                  <c:v>8.3368974096338793</c:v>
                </c:pt>
                <c:pt idx="2">
                  <c:v>8.3966423005317061</c:v>
                </c:pt>
                <c:pt idx="3">
                  <c:v>8.4336990736692492</c:v>
                </c:pt>
                <c:pt idx="4">
                  <c:v>8.5280691825526063</c:v>
                </c:pt>
                <c:pt idx="5">
                  <c:v>8.7013767393354691</c:v>
                </c:pt>
                <c:pt idx="6">
                  <c:v>8.8362122902097742</c:v>
                </c:pt>
                <c:pt idx="7">
                  <c:v>9.030768432752609</c:v>
                </c:pt>
                <c:pt idx="8">
                  <c:v>9.1692026961237758</c:v>
                </c:pt>
                <c:pt idx="9">
                  <c:v>9.2172151211825923</c:v>
                </c:pt>
                <c:pt idx="10">
                  <c:v>9.281319535359394</c:v>
                </c:pt>
                <c:pt idx="11">
                  <c:v>9.0707326182945103</c:v>
                </c:pt>
                <c:pt idx="12">
                  <c:v>8.6776578953117962</c:v>
                </c:pt>
                <c:pt idx="13">
                  <c:v>8.4442551053902228</c:v>
                </c:pt>
                <c:pt idx="14">
                  <c:v>8.4487231364906528</c:v>
                </c:pt>
                <c:pt idx="15">
                  <c:v>8.4431281474864992</c:v>
                </c:pt>
                <c:pt idx="16">
                  <c:v>9.0119391521514132</c:v>
                </c:pt>
                <c:pt idx="17">
                  <c:v>9.9587627314690259</c:v>
                </c:pt>
                <c:pt idx="18">
                  <c:v>10.211993357225829</c:v>
                </c:pt>
                <c:pt idx="19">
                  <c:v>10.520308082049752</c:v>
                </c:pt>
                <c:pt idx="20">
                  <c:v>11.09679613333488</c:v>
                </c:pt>
                <c:pt idx="21">
                  <c:v>11.501960875218575</c:v>
                </c:pt>
                <c:pt idx="22">
                  <c:v>11.720606534087025</c:v>
                </c:pt>
                <c:pt idx="23">
                  <c:v>11.400074386883745</c:v>
                </c:pt>
                <c:pt idx="24">
                  <c:v>10.724968950717649</c:v>
                </c:pt>
                <c:pt idx="25">
                  <c:v>10.685036964350687</c:v>
                </c:pt>
                <c:pt idx="26">
                  <c:v>11.09263708031073</c:v>
                </c:pt>
                <c:pt idx="27">
                  <c:v>11.171617635788053</c:v>
                </c:pt>
                <c:pt idx="28">
                  <c:v>11.968316485111558</c:v>
                </c:pt>
                <c:pt idx="29">
                  <c:v>13.179274752482474</c:v>
                </c:pt>
                <c:pt idx="30">
                  <c:v>13.479365410916902</c:v>
                </c:pt>
                <c:pt idx="31">
                  <c:v>14.034369673589573</c:v>
                </c:pt>
                <c:pt idx="32">
                  <c:v>15.152970857470372</c:v>
                </c:pt>
                <c:pt idx="33">
                  <c:v>16.086686158717367</c:v>
                </c:pt>
                <c:pt idx="34">
                  <c:v>16.697667761228598</c:v>
                </c:pt>
                <c:pt idx="35">
                  <c:v>16.44956317051728</c:v>
                </c:pt>
                <c:pt idx="36">
                  <c:v>15.679091553567588</c:v>
                </c:pt>
                <c:pt idx="37">
                  <c:v>15.471811817376356</c:v>
                </c:pt>
                <c:pt idx="38">
                  <c:v>15.64195056937754</c:v>
                </c:pt>
                <c:pt idx="39">
                  <c:v>15.683018021511117</c:v>
                </c:pt>
                <c:pt idx="40">
                  <c:v>15.999249633806816</c:v>
                </c:pt>
                <c:pt idx="41">
                  <c:v>16.463284088637216</c:v>
                </c:pt>
                <c:pt idx="42">
                  <c:v>16.578250009875255</c:v>
                </c:pt>
                <c:pt idx="43">
                  <c:v>16.774249352408745</c:v>
                </c:pt>
                <c:pt idx="44">
                  <c:v>17.148309601231233</c:v>
                </c:pt>
                <c:pt idx="45">
                  <c:v>17.446114450371311</c:v>
                </c:pt>
                <c:pt idx="46">
                  <c:v>17.705049134890253</c:v>
                </c:pt>
                <c:pt idx="47">
                  <c:v>17.779040356719712</c:v>
                </c:pt>
                <c:pt idx="48">
                  <c:v>17.696227392225758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207296"/>
        <c:axId val="125208832"/>
      </c:lineChart>
      <c:catAx>
        <c:axId val="125207296"/>
        <c:scaling>
          <c:orientation val="minMax"/>
        </c:scaling>
        <c:delete val="0"/>
        <c:axPos val="b"/>
        <c:majorTickMark val="out"/>
        <c:minorTickMark val="none"/>
        <c:tickLblPos val="nextTo"/>
        <c:crossAx val="125208832"/>
        <c:crosses val="autoZero"/>
        <c:auto val="1"/>
        <c:lblAlgn val="ctr"/>
        <c:lblOffset val="100"/>
        <c:noMultiLvlLbl val="0"/>
      </c:catAx>
      <c:valAx>
        <c:axId val="1252088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52072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EstimacionesCons!$B$56</c:f>
              <c:strCache>
                <c:ptCount val="1"/>
                <c:pt idx="0">
                  <c:v>Entrega 2017</c:v>
                </c:pt>
              </c:strCache>
            </c:strRef>
          </c:tx>
          <c:marker>
            <c:symbol val="none"/>
          </c:marker>
          <c:val>
            <c:numRef>
              <c:f>EstimacionesCons!$B$57:$B$92</c:f>
              <c:numCache>
                <c:formatCode>0.00</c:formatCode>
                <c:ptCount val="36"/>
                <c:pt idx="0">
                  <c:v>2.3636820118352002</c:v>
                </c:pt>
                <c:pt idx="1">
                  <c:v>2.32964942821918</c:v>
                </c:pt>
                <c:pt idx="2">
                  <c:v>2.2605574433312299</c:v>
                </c:pt>
                <c:pt idx="3">
                  <c:v>2.2935807239396699</c:v>
                </c:pt>
                <c:pt idx="4">
                  <c:v>2.2978624666902001</c:v>
                </c:pt>
                <c:pt idx="5">
                  <c:v>2.2173956495434899</c:v>
                </c:pt>
                <c:pt idx="6">
                  <c:v>2.2659190862766598</c:v>
                </c:pt>
                <c:pt idx="7">
                  <c:v>2.2712974966165098</c:v>
                </c:pt>
                <c:pt idx="8">
                  <c:v>2.2705119587154599</c:v>
                </c:pt>
                <c:pt idx="9">
                  <c:v>2.2652568226481602</c:v>
                </c:pt>
                <c:pt idx="10">
                  <c:v>2.2160083314486498</c:v>
                </c:pt>
                <c:pt idx="11">
                  <c:v>2.21888594762419</c:v>
                </c:pt>
                <c:pt idx="12">
                  <c:v>2.3546054810811099</c:v>
                </c:pt>
                <c:pt idx="13">
                  <c:v>2.35867661111959</c:v>
                </c:pt>
                <c:pt idx="14">
                  <c:v>2.2849843273068502</c:v>
                </c:pt>
                <c:pt idx="15">
                  <c:v>2.30345429415638</c:v>
                </c:pt>
                <c:pt idx="16">
                  <c:v>2.27840932324523</c:v>
                </c:pt>
                <c:pt idx="17">
                  <c:v>2.2000677782010198</c:v>
                </c:pt>
                <c:pt idx="18">
                  <c:v>2.2478979164541002</c:v>
                </c:pt>
                <c:pt idx="19">
                  <c:v>2.25291873864695</c:v>
                </c:pt>
                <c:pt idx="20">
                  <c:v>2.2518248970177899</c:v>
                </c:pt>
                <c:pt idx="21">
                  <c:v>2.2469269442661401</c:v>
                </c:pt>
                <c:pt idx="22">
                  <c:v>2.1983841088049099</c:v>
                </c:pt>
                <c:pt idx="23">
                  <c:v>2.2015464303251702</c:v>
                </c:pt>
                <c:pt idx="24">
                  <c:v>2.3368583291479501</c:v>
                </c:pt>
                <c:pt idx="25">
                  <c:v>2.3415530337224002</c:v>
                </c:pt>
                <c:pt idx="26">
                  <c:v>2.2690297384493299</c:v>
                </c:pt>
                <c:pt idx="27">
                  <c:v>2.28689138436981</c:v>
                </c:pt>
                <c:pt idx="28">
                  <c:v>2.26155245285655</c:v>
                </c:pt>
                <c:pt idx="29">
                  <c:v>2.1833328698107599</c:v>
                </c:pt>
                <c:pt idx="30">
                  <c:v>2.2307212624244799</c:v>
                </c:pt>
                <c:pt idx="31">
                  <c:v>2.2356256243863899</c:v>
                </c:pt>
                <c:pt idx="32">
                  <c:v>2.2344621245943301</c:v>
                </c:pt>
                <c:pt idx="33">
                  <c:v>2.2298355996519099</c:v>
                </c:pt>
                <c:pt idx="34">
                  <c:v>2.1818906451968201</c:v>
                </c:pt>
                <c:pt idx="35">
                  <c:v>2.1852582320404998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EstimacionesCons!$C$56</c:f>
              <c:strCache>
                <c:ptCount val="1"/>
                <c:pt idx="0">
                  <c:v>Entrega 2018</c:v>
                </c:pt>
              </c:strCache>
            </c:strRef>
          </c:tx>
          <c:marker>
            <c:symbol val="none"/>
          </c:marker>
          <c:val>
            <c:numRef>
              <c:f>EstimacionesCons!$C$57:$C$92</c:f>
              <c:numCache>
                <c:formatCode>0.00</c:formatCode>
                <c:ptCount val="36"/>
                <c:pt idx="0">
                  <c:v>2.36646858743419</c:v>
                </c:pt>
                <c:pt idx="1">
                  <c:v>2.3345448125586499</c:v>
                </c:pt>
                <c:pt idx="2">
                  <c:v>2.26529453717834</c:v>
                </c:pt>
                <c:pt idx="3">
                  <c:v>2.2245103712267098</c:v>
                </c:pt>
                <c:pt idx="4">
                  <c:v>2.1856972652500901</c:v>
                </c:pt>
                <c:pt idx="5">
                  <c:v>2.1939301537956002</c:v>
                </c:pt>
                <c:pt idx="6">
                  <c:v>2.2384206753617701</c:v>
                </c:pt>
                <c:pt idx="7">
                  <c:v>2.29642027385152</c:v>
                </c:pt>
                <c:pt idx="8">
                  <c:v>2.3606939103075</c:v>
                </c:pt>
                <c:pt idx="9">
                  <c:v>2.3270195989992302</c:v>
                </c:pt>
                <c:pt idx="10">
                  <c:v>2.2791740796074502</c:v>
                </c:pt>
                <c:pt idx="11">
                  <c:v>2.2305139284076798</c:v>
                </c:pt>
                <c:pt idx="12">
                  <c:v>2.2704762917324102</c:v>
                </c:pt>
                <c:pt idx="13">
                  <c:v>2.24550026593815</c:v>
                </c:pt>
                <c:pt idx="14">
                  <c:v>2.1189527872362302</c:v>
                </c:pt>
                <c:pt idx="15">
                  <c:v>2.0938625616169202</c:v>
                </c:pt>
                <c:pt idx="16">
                  <c:v>2.06032751959772</c:v>
                </c:pt>
                <c:pt idx="17">
                  <c:v>2.0481073494642699</c:v>
                </c:pt>
                <c:pt idx="18">
                  <c:v>2.09546368992839</c:v>
                </c:pt>
                <c:pt idx="19">
                  <c:v>2.15443401345635</c:v>
                </c:pt>
                <c:pt idx="20">
                  <c:v>2.2163882433636499</c:v>
                </c:pt>
                <c:pt idx="21">
                  <c:v>2.1740528765475502</c:v>
                </c:pt>
                <c:pt idx="22">
                  <c:v>2.1199672582445799</c:v>
                </c:pt>
                <c:pt idx="23">
                  <c:v>2.0533740632278801</c:v>
                </c:pt>
                <c:pt idx="24">
                  <c:v>2.1042662543194499</c:v>
                </c:pt>
                <c:pt idx="25">
                  <c:v>2.0690438276652001</c:v>
                </c:pt>
                <c:pt idx="26">
                  <c:v>1.96182675031497</c:v>
                </c:pt>
                <c:pt idx="27">
                  <c:v>1.94046018444505</c:v>
                </c:pt>
                <c:pt idx="28">
                  <c:v>1.9111578664867599</c:v>
                </c:pt>
                <c:pt idx="29">
                  <c:v>1.9016483347694499</c:v>
                </c:pt>
                <c:pt idx="30">
                  <c:v>1.94833320985763</c:v>
                </c:pt>
                <c:pt idx="31">
                  <c:v>2.0060515044761602</c:v>
                </c:pt>
                <c:pt idx="32">
                  <c:v>2.0667146059789401</c:v>
                </c:pt>
                <c:pt idx="33">
                  <c:v>2.03238900198938</c:v>
                </c:pt>
                <c:pt idx="34">
                  <c:v>1.9870311936294101</c:v>
                </c:pt>
                <c:pt idx="35">
                  <c:v>1.9295039235125899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EstimacionesCons!$D$56</c:f>
              <c:strCache>
                <c:ptCount val="1"/>
                <c:pt idx="0">
                  <c:v>Ene18-dic20</c:v>
                </c:pt>
              </c:strCache>
            </c:strRef>
          </c:tx>
          <c:marker>
            <c:symbol val="none"/>
          </c:marker>
          <c:val>
            <c:numRef>
              <c:f>EstimacionesCons!$D$57:$D$92</c:f>
              <c:numCache>
                <c:formatCode>0.00</c:formatCode>
                <c:ptCount val="36"/>
                <c:pt idx="0">
                  <c:v>2.21491838176394</c:v>
                </c:pt>
                <c:pt idx="1">
                  <c:v>2.2373235943327301</c:v>
                </c:pt>
                <c:pt idx="2">
                  <c:v>2.2199882090379699</c:v>
                </c:pt>
                <c:pt idx="3">
                  <c:v>2.2071976343905502</c:v>
                </c:pt>
                <c:pt idx="4">
                  <c:v>2.18918458626074</c:v>
                </c:pt>
                <c:pt idx="5">
                  <c:v>2.15813376183976</c:v>
                </c:pt>
                <c:pt idx="6">
                  <c:v>2.1967937986267501</c:v>
                </c:pt>
                <c:pt idx="7">
                  <c:v>2.2373734849662901</c:v>
                </c:pt>
                <c:pt idx="8">
                  <c:v>2.3008184874927502</c:v>
                </c:pt>
                <c:pt idx="9">
                  <c:v>2.3086234935036698</c:v>
                </c:pt>
                <c:pt idx="10">
                  <c:v>2.2936222358585598</c:v>
                </c:pt>
                <c:pt idx="11">
                  <c:v>2.2190032623146698</c:v>
                </c:pt>
                <c:pt idx="12">
                  <c:v>2.24415020549859</c:v>
                </c:pt>
                <c:pt idx="13">
                  <c:v>2.2280501551815899</c:v>
                </c:pt>
                <c:pt idx="14">
                  <c:v>2.1439995624609902</c:v>
                </c:pt>
                <c:pt idx="15">
                  <c:v>2.1307949538056801</c:v>
                </c:pt>
                <c:pt idx="16">
                  <c:v>2.1125881133342901</c:v>
                </c:pt>
                <c:pt idx="17">
                  <c:v>2.08179145745616</c:v>
                </c:pt>
                <c:pt idx="18">
                  <c:v>2.1178547727560302</c:v>
                </c:pt>
                <c:pt idx="19">
                  <c:v>2.1556834553097</c:v>
                </c:pt>
                <c:pt idx="20">
                  <c:v>2.2154832935336399</c:v>
                </c:pt>
                <c:pt idx="21">
                  <c:v>2.2206529024380202</c:v>
                </c:pt>
                <c:pt idx="22">
                  <c:v>2.2038174924819698</c:v>
                </c:pt>
                <c:pt idx="23">
                  <c:v>2.12987014554278</c:v>
                </c:pt>
                <c:pt idx="24">
                  <c:v>2.1526872590262398</c:v>
                </c:pt>
                <c:pt idx="25">
                  <c:v>2.13593393066677</c:v>
                </c:pt>
                <c:pt idx="26">
                  <c:v>2.0542208629220098</c:v>
                </c:pt>
                <c:pt idx="27">
                  <c:v>2.0399378159291301</c:v>
                </c:pt>
                <c:pt idx="28">
                  <c:v>2.0209432873945201</c:v>
                </c:pt>
                <c:pt idx="29">
                  <c:v>1.98989125110582</c:v>
                </c:pt>
                <c:pt idx="30">
                  <c:v>2.02326660853804</c:v>
                </c:pt>
                <c:pt idx="31">
                  <c:v>2.0582537004211701</c:v>
                </c:pt>
                <c:pt idx="32">
                  <c:v>2.1141674105869499</c:v>
                </c:pt>
                <c:pt idx="33">
                  <c:v>2.1173610810069698</c:v>
                </c:pt>
                <c:pt idx="34">
                  <c:v>2.09952636013645</c:v>
                </c:pt>
                <c:pt idx="35">
                  <c:v>2.0274127888239399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447552"/>
        <c:axId val="125486208"/>
      </c:lineChart>
      <c:catAx>
        <c:axId val="125447552"/>
        <c:scaling>
          <c:orientation val="minMax"/>
        </c:scaling>
        <c:delete val="0"/>
        <c:axPos val="b"/>
        <c:majorTickMark val="out"/>
        <c:minorTickMark val="none"/>
        <c:tickLblPos val="nextTo"/>
        <c:crossAx val="125486208"/>
        <c:crosses val="autoZero"/>
        <c:auto val="1"/>
        <c:lblAlgn val="ctr"/>
        <c:lblOffset val="100"/>
        <c:noMultiLvlLbl val="0"/>
      </c:catAx>
      <c:valAx>
        <c:axId val="125486208"/>
        <c:scaling>
          <c:orientation val="minMax"/>
          <c:min val="1.5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5447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EstimacionesCons!$B$138</c:f>
              <c:strCache>
                <c:ptCount val="1"/>
                <c:pt idx="0">
                  <c:v>base</c:v>
                </c:pt>
              </c:strCache>
            </c:strRef>
          </c:tx>
          <c:cat>
            <c:numRef>
              <c:f>EstimacionesCons!$A$139:$A$174</c:f>
              <c:numCache>
                <c:formatCode>m/d/yyyy</c:formatCode>
                <c:ptCount val="36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  <c:pt idx="24">
                  <c:v>43831</c:v>
                </c:pt>
                <c:pt idx="25">
                  <c:v>43862</c:v>
                </c:pt>
                <c:pt idx="26">
                  <c:v>43891</c:v>
                </c:pt>
                <c:pt idx="27">
                  <c:v>43922</c:v>
                </c:pt>
                <c:pt idx="28">
                  <c:v>43952</c:v>
                </c:pt>
                <c:pt idx="29">
                  <c:v>43983</c:v>
                </c:pt>
                <c:pt idx="30">
                  <c:v>44013</c:v>
                </c:pt>
                <c:pt idx="31">
                  <c:v>44044</c:v>
                </c:pt>
                <c:pt idx="32">
                  <c:v>44075</c:v>
                </c:pt>
                <c:pt idx="33">
                  <c:v>44105</c:v>
                </c:pt>
                <c:pt idx="34">
                  <c:v>44136</c:v>
                </c:pt>
                <c:pt idx="35">
                  <c:v>44166</c:v>
                </c:pt>
              </c:numCache>
            </c:numRef>
          </c:cat>
          <c:val>
            <c:numRef>
              <c:f>EstimacionesCons!$B$139:$B$174</c:f>
              <c:numCache>
                <c:formatCode>0.00</c:formatCode>
                <c:ptCount val="36"/>
                <c:pt idx="0">
                  <c:v>8.5579686155119106</c:v>
                </c:pt>
                <c:pt idx="1">
                  <c:v>8.6584997644427109</c:v>
                </c:pt>
                <c:pt idx="2">
                  <c:v>8.5403446924450996</c:v>
                </c:pt>
                <c:pt idx="3">
                  <c:v>9.0722501102928206</c:v>
                </c:pt>
                <c:pt idx="4">
                  <c:v>9.1979279757755101</c:v>
                </c:pt>
                <c:pt idx="5">
                  <c:v>9.0983261058364704</c:v>
                </c:pt>
                <c:pt idx="6">
                  <c:v>9.3014796193467202</c:v>
                </c:pt>
                <c:pt idx="7">
                  <c:v>9.4522292589492398</c:v>
                </c:pt>
                <c:pt idx="8">
                  <c:v>9.5077098666085593</c:v>
                </c:pt>
                <c:pt idx="9">
                  <c:v>9.5153223652773598</c:v>
                </c:pt>
                <c:pt idx="10">
                  <c:v>9.1775267869877393</c:v>
                </c:pt>
                <c:pt idx="11">
                  <c:v>8.9138160287497907</c:v>
                </c:pt>
                <c:pt idx="12">
                  <c:v>9.0076398787373702</c:v>
                </c:pt>
                <c:pt idx="13">
                  <c:v>9.04222595436765</c:v>
                </c:pt>
                <c:pt idx="14">
                  <c:v>8.8897802741601506</c:v>
                </c:pt>
                <c:pt idx="15">
                  <c:v>9.4758535149955101</c:v>
                </c:pt>
                <c:pt idx="16">
                  <c:v>9.6353847498145608</c:v>
                </c:pt>
                <c:pt idx="17">
                  <c:v>9.5608311278170408</c:v>
                </c:pt>
                <c:pt idx="18">
                  <c:v>9.8149769184375995</c:v>
                </c:pt>
                <c:pt idx="19">
                  <c:v>10.017780778554</c:v>
                </c:pt>
                <c:pt idx="20">
                  <c:v>10.119732417029001</c:v>
                </c:pt>
                <c:pt idx="21">
                  <c:v>10.1983114624488</c:v>
                </c:pt>
                <c:pt idx="22">
                  <c:v>9.9048898016013407</c:v>
                </c:pt>
                <c:pt idx="23">
                  <c:v>9.6872232927557693</c:v>
                </c:pt>
                <c:pt idx="24">
                  <c:v>9.8329316770830406</c:v>
                </c:pt>
                <c:pt idx="25">
                  <c:v>9.9137856123118304</c:v>
                </c:pt>
                <c:pt idx="26">
                  <c:v>9.7865548048417192</c:v>
                </c:pt>
                <c:pt idx="27">
                  <c:v>10.4906432556669</c:v>
                </c:pt>
                <c:pt idx="28">
                  <c:v>10.726837520654399</c:v>
                </c:pt>
                <c:pt idx="29">
                  <c:v>10.7039300708868</c:v>
                </c:pt>
                <c:pt idx="30">
                  <c:v>11.034867578796501</c:v>
                </c:pt>
                <c:pt idx="31">
                  <c:v>11.3105731639815</c:v>
                </c:pt>
                <c:pt idx="32">
                  <c:v>11.4752344357341</c:v>
                </c:pt>
                <c:pt idx="33">
                  <c:v>11.631220285135401</c:v>
                </c:pt>
                <c:pt idx="34">
                  <c:v>11.3638573001921</c:v>
                </c:pt>
                <c:pt idx="35">
                  <c:v>11.17840668406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EstimacionesCons!$C$138</c:f>
              <c:strCache>
                <c:ptCount val="1"/>
                <c:pt idx="0">
                  <c:v>adv</c:v>
                </c:pt>
              </c:strCache>
            </c:strRef>
          </c:tx>
          <c:cat>
            <c:numRef>
              <c:f>EstimacionesCons!$A$139:$A$174</c:f>
              <c:numCache>
                <c:formatCode>m/d/yyyy</c:formatCode>
                <c:ptCount val="36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  <c:pt idx="24">
                  <c:v>43831</c:v>
                </c:pt>
                <c:pt idx="25">
                  <c:v>43862</c:v>
                </c:pt>
                <c:pt idx="26">
                  <c:v>43891</c:v>
                </c:pt>
                <c:pt idx="27">
                  <c:v>43922</c:v>
                </c:pt>
                <c:pt idx="28">
                  <c:v>43952</c:v>
                </c:pt>
                <c:pt idx="29">
                  <c:v>43983</c:v>
                </c:pt>
                <c:pt idx="30">
                  <c:v>44013</c:v>
                </c:pt>
                <c:pt idx="31">
                  <c:v>44044</c:v>
                </c:pt>
                <c:pt idx="32">
                  <c:v>44075</c:v>
                </c:pt>
                <c:pt idx="33">
                  <c:v>44105</c:v>
                </c:pt>
                <c:pt idx="34">
                  <c:v>44136</c:v>
                </c:pt>
                <c:pt idx="35">
                  <c:v>44166</c:v>
                </c:pt>
              </c:numCache>
            </c:numRef>
          </c:cat>
          <c:val>
            <c:numRef>
              <c:f>EstimacionesCons!$C$139:$C$174</c:f>
              <c:numCache>
                <c:formatCode>0.00</c:formatCode>
                <c:ptCount val="36"/>
                <c:pt idx="0">
                  <c:v>8.5579686155119106</c:v>
                </c:pt>
                <c:pt idx="1">
                  <c:v>8.6584997644427109</c:v>
                </c:pt>
                <c:pt idx="2">
                  <c:v>8.5403446924450996</c:v>
                </c:pt>
                <c:pt idx="3">
                  <c:v>9.0238981097118902</c:v>
                </c:pt>
                <c:pt idx="4">
                  <c:v>9.1082562606962707</c:v>
                </c:pt>
                <c:pt idx="5">
                  <c:v>8.9679941102690499</c:v>
                </c:pt>
                <c:pt idx="6">
                  <c:v>9.1413990943292198</c:v>
                </c:pt>
                <c:pt idx="7">
                  <c:v>9.2612253894723793</c:v>
                </c:pt>
                <c:pt idx="8">
                  <c:v>9.2871860465878608</c:v>
                </c:pt>
                <c:pt idx="9">
                  <c:v>9.3109420312022397</c:v>
                </c:pt>
                <c:pt idx="10">
                  <c:v>8.9957228148057204</c:v>
                </c:pt>
                <c:pt idx="11">
                  <c:v>8.7525789141239603</c:v>
                </c:pt>
                <c:pt idx="12">
                  <c:v>8.7722096105160894</c:v>
                </c:pt>
                <c:pt idx="13">
                  <c:v>8.7328249809707703</c:v>
                </c:pt>
                <c:pt idx="14">
                  <c:v>8.5222601144732106</c:v>
                </c:pt>
                <c:pt idx="15">
                  <c:v>9.0505634988584607</c:v>
                </c:pt>
                <c:pt idx="16">
                  <c:v>9.1710733282600607</c:v>
                </c:pt>
                <c:pt idx="17">
                  <c:v>9.0665127101714909</c:v>
                </c:pt>
                <c:pt idx="18">
                  <c:v>9.3262797646732807</c:v>
                </c:pt>
                <c:pt idx="19">
                  <c:v>9.5377780477262295</c:v>
                </c:pt>
                <c:pt idx="20">
                  <c:v>9.6548482142550807</c:v>
                </c:pt>
                <c:pt idx="21">
                  <c:v>9.7517619478322803</c:v>
                </c:pt>
                <c:pt idx="22">
                  <c:v>9.4942607325442196</c:v>
                </c:pt>
                <c:pt idx="23">
                  <c:v>9.3065607115757292</c:v>
                </c:pt>
                <c:pt idx="24">
                  <c:v>9.4612962866057604</c:v>
                </c:pt>
                <c:pt idx="25">
                  <c:v>9.55399173697454</c:v>
                </c:pt>
                <c:pt idx="26">
                  <c:v>9.4444021123311703</c:v>
                </c:pt>
                <c:pt idx="27">
                  <c:v>10.1091325709315</c:v>
                </c:pt>
                <c:pt idx="28">
                  <c:v>10.322068791270199</c:v>
                </c:pt>
                <c:pt idx="29">
                  <c:v>10.2850272316246</c:v>
                </c:pt>
                <c:pt idx="30">
                  <c:v>10.5828668518374</c:v>
                </c:pt>
                <c:pt idx="31">
                  <c:v>10.826202615410899</c:v>
                </c:pt>
                <c:pt idx="32">
                  <c:v>10.962470442701299</c:v>
                </c:pt>
                <c:pt idx="33">
                  <c:v>11.048322322678899</c:v>
                </c:pt>
                <c:pt idx="34">
                  <c:v>10.7323048626145</c:v>
                </c:pt>
                <c:pt idx="35">
                  <c:v>10.497148020771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84896"/>
        <c:axId val="125586432"/>
      </c:lineChart>
      <c:dateAx>
        <c:axId val="125584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5586432"/>
        <c:crosses val="autoZero"/>
        <c:auto val="1"/>
        <c:lblOffset val="100"/>
        <c:baseTimeUnit val="months"/>
      </c:dateAx>
      <c:valAx>
        <c:axId val="1255864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5584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EstimacionesCons!$E$138</c:f>
              <c:strCache>
                <c:ptCount val="1"/>
                <c:pt idx="0">
                  <c:v>base</c:v>
                </c:pt>
              </c:strCache>
            </c:strRef>
          </c:tx>
          <c:cat>
            <c:numRef>
              <c:f>EstimacionesCons!$A$139:$A$174</c:f>
              <c:numCache>
                <c:formatCode>m/d/yyyy</c:formatCode>
                <c:ptCount val="36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  <c:pt idx="24">
                  <c:v>43831</c:v>
                </c:pt>
                <c:pt idx="25">
                  <c:v>43862</c:v>
                </c:pt>
                <c:pt idx="26">
                  <c:v>43891</c:v>
                </c:pt>
                <c:pt idx="27">
                  <c:v>43922</c:v>
                </c:pt>
                <c:pt idx="28">
                  <c:v>43952</c:v>
                </c:pt>
                <c:pt idx="29">
                  <c:v>43983</c:v>
                </c:pt>
                <c:pt idx="30">
                  <c:v>44013</c:v>
                </c:pt>
                <c:pt idx="31">
                  <c:v>44044</c:v>
                </c:pt>
                <c:pt idx="32">
                  <c:v>44075</c:v>
                </c:pt>
                <c:pt idx="33">
                  <c:v>44105</c:v>
                </c:pt>
                <c:pt idx="34">
                  <c:v>44136</c:v>
                </c:pt>
                <c:pt idx="35">
                  <c:v>44166</c:v>
                </c:pt>
              </c:numCache>
            </c:numRef>
          </c:cat>
          <c:val>
            <c:numRef>
              <c:f>EstimacionesCons!$E$139:$E$174</c:f>
              <c:numCache>
                <c:formatCode>0.00</c:formatCode>
                <c:ptCount val="36"/>
                <c:pt idx="0">
                  <c:v>8.7676128963580897</c:v>
                </c:pt>
                <c:pt idx="1">
                  <c:v>8.8772704176211406</c:v>
                </c:pt>
                <c:pt idx="2">
                  <c:v>8.7777974317289509</c:v>
                </c:pt>
                <c:pt idx="3">
                  <c:v>9.2908905904122001</c:v>
                </c:pt>
                <c:pt idx="4">
                  <c:v>9.4990092990095807</c:v>
                </c:pt>
                <c:pt idx="5">
                  <c:v>9.4745999229392908</c:v>
                </c:pt>
                <c:pt idx="6">
                  <c:v>9.7761567233880893</c:v>
                </c:pt>
                <c:pt idx="7">
                  <c:v>10.0269855852211</c:v>
                </c:pt>
                <c:pt idx="8">
                  <c:v>10.1828221913063</c:v>
                </c:pt>
                <c:pt idx="9">
                  <c:v>10.2853319359397</c:v>
                </c:pt>
                <c:pt idx="10">
                  <c:v>10.018685254739999</c:v>
                </c:pt>
                <c:pt idx="11">
                  <c:v>9.8316842286734705</c:v>
                </c:pt>
                <c:pt idx="12">
                  <c:v>10.040693035354201</c:v>
                </c:pt>
                <c:pt idx="13">
                  <c:v>10.1894522846512</c:v>
                </c:pt>
                <c:pt idx="14">
                  <c:v>10.129363539506</c:v>
                </c:pt>
                <c:pt idx="15">
                  <c:v>10.945866286178401</c:v>
                </c:pt>
                <c:pt idx="16">
                  <c:v>11.2806621069291</c:v>
                </c:pt>
                <c:pt idx="17">
                  <c:v>11.3460137025468</c:v>
                </c:pt>
                <c:pt idx="18">
                  <c:v>11.8132646769382</c:v>
                </c:pt>
                <c:pt idx="19">
                  <c:v>12.228835185522</c:v>
                </c:pt>
                <c:pt idx="20">
                  <c:v>12.5321031311813</c:v>
                </c:pt>
                <c:pt idx="21">
                  <c:v>12.810911146847101</c:v>
                </c:pt>
                <c:pt idx="22">
                  <c:v>12.623126954565199</c:v>
                </c:pt>
                <c:pt idx="23">
                  <c:v>12.530630394749799</c:v>
                </c:pt>
                <c:pt idx="24">
                  <c:v>12.914360754809399</c:v>
                </c:pt>
                <c:pt idx="25">
                  <c:v>13.218297552632899</c:v>
                </c:pt>
                <c:pt idx="26">
                  <c:v>13.249955908531099</c:v>
                </c:pt>
                <c:pt idx="27">
                  <c:v>14.453039623415</c:v>
                </c:pt>
                <c:pt idx="28">
                  <c:v>15.0388245325807</c:v>
                </c:pt>
                <c:pt idx="29">
                  <c:v>15.266429353837999</c:v>
                </c:pt>
                <c:pt idx="30">
                  <c:v>16.024865822319299</c:v>
                </c:pt>
                <c:pt idx="31">
                  <c:v>16.72039219869</c:v>
                </c:pt>
                <c:pt idx="32">
                  <c:v>17.272673323461401</c:v>
                </c:pt>
                <c:pt idx="33">
                  <c:v>17.822255380230501</c:v>
                </c:pt>
                <c:pt idx="34">
                  <c:v>17.7255351203213</c:v>
                </c:pt>
                <c:pt idx="35">
                  <c:v>17.761670376437401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EstimacionesCons!$F$138</c:f>
              <c:strCache>
                <c:ptCount val="1"/>
                <c:pt idx="0">
                  <c:v>adv</c:v>
                </c:pt>
              </c:strCache>
            </c:strRef>
          </c:tx>
          <c:cat>
            <c:numRef>
              <c:f>EstimacionesCons!$A$139:$A$174</c:f>
              <c:numCache>
                <c:formatCode>m/d/yyyy</c:formatCode>
                <c:ptCount val="36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  <c:pt idx="24">
                  <c:v>43831</c:v>
                </c:pt>
                <c:pt idx="25">
                  <c:v>43862</c:v>
                </c:pt>
                <c:pt idx="26">
                  <c:v>43891</c:v>
                </c:pt>
                <c:pt idx="27">
                  <c:v>43922</c:v>
                </c:pt>
                <c:pt idx="28">
                  <c:v>43952</c:v>
                </c:pt>
                <c:pt idx="29">
                  <c:v>43983</c:v>
                </c:pt>
                <c:pt idx="30">
                  <c:v>44013</c:v>
                </c:pt>
                <c:pt idx="31">
                  <c:v>44044</c:v>
                </c:pt>
                <c:pt idx="32">
                  <c:v>44075</c:v>
                </c:pt>
                <c:pt idx="33">
                  <c:v>44105</c:v>
                </c:pt>
                <c:pt idx="34">
                  <c:v>44136</c:v>
                </c:pt>
                <c:pt idx="35">
                  <c:v>44166</c:v>
                </c:pt>
              </c:numCache>
            </c:numRef>
          </c:cat>
          <c:val>
            <c:numRef>
              <c:f>EstimacionesCons!$F$139:$F$174</c:f>
              <c:numCache>
                <c:formatCode>0.00</c:formatCode>
                <c:ptCount val="36"/>
                <c:pt idx="0">
                  <c:v>8.7676128963580897</c:v>
                </c:pt>
                <c:pt idx="1">
                  <c:v>8.8772704176211406</c:v>
                </c:pt>
                <c:pt idx="2">
                  <c:v>8.7777974317289509</c:v>
                </c:pt>
                <c:pt idx="3">
                  <c:v>9.2441920574616798</c:v>
                </c:pt>
                <c:pt idx="4">
                  <c:v>9.4062050698981494</c:v>
                </c:pt>
                <c:pt idx="5">
                  <c:v>9.3452327947784397</c:v>
                </c:pt>
                <c:pt idx="6">
                  <c:v>9.60891649728846</c:v>
                </c:pt>
                <c:pt idx="7">
                  <c:v>9.8255339664818706</c:v>
                </c:pt>
                <c:pt idx="8">
                  <c:v>9.9470730439224297</c:v>
                </c:pt>
                <c:pt idx="9">
                  <c:v>10.0684341735664</c:v>
                </c:pt>
                <c:pt idx="10">
                  <c:v>9.8278246345048998</c:v>
                </c:pt>
                <c:pt idx="11">
                  <c:v>9.6593133504902706</c:v>
                </c:pt>
                <c:pt idx="12">
                  <c:v>9.7819397645984907</c:v>
                </c:pt>
                <c:pt idx="13">
                  <c:v>9.8474690046143802</c:v>
                </c:pt>
                <c:pt idx="14">
                  <c:v>9.7188693478774599</c:v>
                </c:pt>
                <c:pt idx="15">
                  <c:v>10.4608237334582</c:v>
                </c:pt>
                <c:pt idx="16">
                  <c:v>10.7385092750769</c:v>
                </c:pt>
                <c:pt idx="17">
                  <c:v>10.7629391517436</c:v>
                </c:pt>
                <c:pt idx="18">
                  <c:v>11.2224834499695</c:v>
                </c:pt>
                <c:pt idx="19">
                  <c:v>11.638136858958701</c:v>
                </c:pt>
                <c:pt idx="20">
                  <c:v>11.949827329470899</c:v>
                </c:pt>
                <c:pt idx="21">
                  <c:v>12.245268249650699</c:v>
                </c:pt>
                <c:pt idx="22">
                  <c:v>12.0980137779791</c:v>
                </c:pt>
                <c:pt idx="23">
                  <c:v>12.0359436035186</c:v>
                </c:pt>
                <c:pt idx="24">
                  <c:v>12.420367285077599</c:v>
                </c:pt>
                <c:pt idx="25">
                  <c:v>12.732960788589301</c:v>
                </c:pt>
                <c:pt idx="26">
                  <c:v>12.7804828941184</c:v>
                </c:pt>
                <c:pt idx="27">
                  <c:v>13.9183940237368</c:v>
                </c:pt>
                <c:pt idx="28">
                  <c:v>14.4581426124186</c:v>
                </c:pt>
                <c:pt idx="29">
                  <c:v>14.655739459327201</c:v>
                </c:pt>
                <c:pt idx="30">
                  <c:v>15.3502995787034</c:v>
                </c:pt>
                <c:pt idx="31">
                  <c:v>15.9832929245388</c:v>
                </c:pt>
                <c:pt idx="32">
                  <c:v>16.476709094550401</c:v>
                </c:pt>
                <c:pt idx="33">
                  <c:v>16.902877903186599</c:v>
                </c:pt>
                <c:pt idx="34">
                  <c:v>16.714654279320399</c:v>
                </c:pt>
                <c:pt idx="35">
                  <c:v>16.649918705365199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627776"/>
        <c:axId val="125650048"/>
      </c:lineChart>
      <c:dateAx>
        <c:axId val="1256277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5650048"/>
        <c:crosses val="autoZero"/>
        <c:auto val="1"/>
        <c:lblOffset val="100"/>
        <c:baseTimeUnit val="months"/>
      </c:dateAx>
      <c:valAx>
        <c:axId val="12565004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5627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247636</xdr:colOff>
      <xdr:row>0</xdr:row>
      <xdr:rowOff>95251</xdr:rowOff>
    </xdr:from>
    <xdr:to>
      <xdr:col>34</xdr:col>
      <xdr:colOff>84666</xdr:colOff>
      <xdr:row>21</xdr:row>
      <xdr:rowOff>28577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226471</xdr:colOff>
      <xdr:row>22</xdr:row>
      <xdr:rowOff>5292</xdr:rowOff>
    </xdr:from>
    <xdr:to>
      <xdr:col>34</xdr:col>
      <xdr:colOff>63501</xdr:colOff>
      <xdr:row>42</xdr:row>
      <xdr:rowOff>129118</xdr:rowOff>
    </xdr:to>
    <xdr:graphicFrame macro="">
      <xdr:nvGraphicFramePr>
        <xdr:cNvPr id="6" name="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202406</xdr:colOff>
      <xdr:row>11</xdr:row>
      <xdr:rowOff>106101</xdr:rowOff>
    </xdr:from>
    <xdr:to>
      <xdr:col>9</xdr:col>
      <xdr:colOff>205050</xdr:colOff>
      <xdr:row>30</xdr:row>
      <xdr:rowOff>144201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306917</xdr:colOff>
      <xdr:row>59</xdr:row>
      <xdr:rowOff>31750</xdr:rowOff>
    </xdr:from>
    <xdr:to>
      <xdr:col>15</xdr:col>
      <xdr:colOff>0</xdr:colOff>
      <xdr:row>89</xdr:row>
      <xdr:rowOff>10583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247636</xdr:colOff>
      <xdr:row>0</xdr:row>
      <xdr:rowOff>95251</xdr:rowOff>
    </xdr:from>
    <xdr:to>
      <xdr:col>30</xdr:col>
      <xdr:colOff>84666</xdr:colOff>
      <xdr:row>21</xdr:row>
      <xdr:rowOff>28577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226471</xdr:colOff>
      <xdr:row>22</xdr:row>
      <xdr:rowOff>5292</xdr:rowOff>
    </xdr:from>
    <xdr:to>
      <xdr:col>30</xdr:col>
      <xdr:colOff>63501</xdr:colOff>
      <xdr:row>42</xdr:row>
      <xdr:rowOff>129118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122766</xdr:colOff>
      <xdr:row>18</xdr:row>
      <xdr:rowOff>176216</xdr:rowOff>
    </xdr:from>
    <xdr:to>
      <xdr:col>19</xdr:col>
      <xdr:colOff>390259</xdr:colOff>
      <xdr:row>38</xdr:row>
      <xdr:rowOff>23816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306917</xdr:colOff>
      <xdr:row>59</xdr:row>
      <xdr:rowOff>31750</xdr:rowOff>
    </xdr:from>
    <xdr:to>
      <xdr:col>11</xdr:col>
      <xdr:colOff>0</xdr:colOff>
      <xdr:row>89</xdr:row>
      <xdr:rowOff>10583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247636</xdr:colOff>
      <xdr:row>0</xdr:row>
      <xdr:rowOff>95251</xdr:rowOff>
    </xdr:from>
    <xdr:to>
      <xdr:col>30</xdr:col>
      <xdr:colOff>84666</xdr:colOff>
      <xdr:row>21</xdr:row>
      <xdr:rowOff>28577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226471</xdr:colOff>
      <xdr:row>22</xdr:row>
      <xdr:rowOff>5292</xdr:rowOff>
    </xdr:from>
    <xdr:to>
      <xdr:col>30</xdr:col>
      <xdr:colOff>63501</xdr:colOff>
      <xdr:row>42</xdr:row>
      <xdr:rowOff>129118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546363</xdr:colOff>
      <xdr:row>9</xdr:row>
      <xdr:rowOff>144465</xdr:rowOff>
    </xdr:from>
    <xdr:to>
      <xdr:col>8</xdr:col>
      <xdr:colOff>165364</xdr:colOff>
      <xdr:row>28</xdr:row>
      <xdr:rowOff>182565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306917</xdr:colOff>
      <xdr:row>59</xdr:row>
      <xdr:rowOff>31750</xdr:rowOff>
    </xdr:from>
    <xdr:to>
      <xdr:col>11</xdr:col>
      <xdr:colOff>0</xdr:colOff>
      <xdr:row>89</xdr:row>
      <xdr:rowOff>10583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582083</xdr:colOff>
      <xdr:row>138</xdr:row>
      <xdr:rowOff>30691</xdr:rowOff>
    </xdr:from>
    <xdr:to>
      <xdr:col>12</xdr:col>
      <xdr:colOff>338667</xdr:colOff>
      <xdr:row>152</xdr:row>
      <xdr:rowOff>106891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154</xdr:row>
      <xdr:rowOff>0</xdr:rowOff>
    </xdr:from>
    <xdr:to>
      <xdr:col>13</xdr:col>
      <xdr:colOff>95250</xdr:colOff>
      <xdr:row>168</xdr:row>
      <xdr:rowOff>76200</xdr:rowOff>
    </xdr:to>
    <xdr:graphicFrame macro="">
      <xdr:nvGraphicFramePr>
        <xdr:cNvPr id="8" name="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RM08192" refreshedDate="43402.492094444446" createdVersion="4" refreshedVersion="4" minRefreshableVersion="3" recordCount="1152">
  <cacheSource type="worksheet">
    <worksheetSource ref="A1:F1153" sheet="SeriesFinales"/>
  </cacheSource>
  <cacheFields count="6">
    <cacheField name="MES" numFmtId="0">
      <sharedItems containsSemiMixedTypes="0" containsNonDate="0" containsDate="1" containsString="0" minDate="2014-01-01T00:00:00" maxDate="2020-12-02T00:00:00" count="84"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</sharedItems>
    </cacheField>
    <cacheField name="PORTAFOLIO" numFmtId="0">
      <sharedItems count="3">
        <s v="COMERCIAL"/>
        <s v="HIPOTECARIO"/>
        <s v="CONSUMO"/>
      </sharedItems>
    </cacheField>
    <cacheField name="ESCENARIO" numFmtId="0">
      <sharedItems count="6">
        <s v="BASE"/>
        <s v="ADVERSO"/>
        <s v="BASE_ANT"/>
        <s v="ADVERSO_ANT"/>
        <s v="BASE_SUP_OCT18"/>
        <s v="ADV_SUP_OCT18"/>
      </sharedItems>
    </cacheField>
    <cacheField name="MEAN" numFmtId="0">
      <sharedItems containsSemiMixedTypes="0" containsString="0" containsNumber="1" minValue="0.41024531294397498" maxValue="11.685273705974"/>
    </cacheField>
    <cacheField name="LOW" numFmtId="0">
      <sharedItems containsSemiMixedTypes="0" containsString="0" containsNumber="1" minValue="0.13745521626325599" maxValue="9.6466622268345308"/>
    </cacheField>
    <cacheField name="HIGH" numFmtId="0">
      <sharedItems containsSemiMixedTypes="0" containsString="0" containsNumber="1" minValue="0.90402983707040196" maxValue="17.90626192553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52">
  <r>
    <x v="0"/>
    <x v="0"/>
    <x v="0"/>
    <n v="2.7773818652850699"/>
    <n v="2.71950772709287"/>
    <n v="2.8364876292741399"/>
  </r>
  <r>
    <x v="1"/>
    <x v="0"/>
    <x v="0"/>
    <n v="2.6908123177554102"/>
    <n v="2.6384731145750702"/>
    <n v="2.7441897699800202"/>
  </r>
  <r>
    <x v="2"/>
    <x v="0"/>
    <x v="0"/>
    <n v="2.6115590809242599"/>
    <n v="2.5603980168629001"/>
    <n v="2.66374242920027"/>
  </r>
  <r>
    <x v="3"/>
    <x v="0"/>
    <x v="0"/>
    <n v="2.5871640030646099"/>
    <n v="2.5364407164990799"/>
    <n v="2.6389016448182101"/>
  </r>
  <r>
    <x v="4"/>
    <x v="0"/>
    <x v="0"/>
    <n v="2.55779407918337"/>
    <n v="2.5075051651271401"/>
    <n v="2.6090915554201"/>
  </r>
  <r>
    <x v="5"/>
    <x v="0"/>
    <x v="0"/>
    <n v="2.5032737781077801"/>
    <n v="2.4541370968287"/>
    <n v="2.5533942729848298"/>
  </r>
  <r>
    <x v="6"/>
    <x v="0"/>
    <x v="0"/>
    <n v="2.5537242790044101"/>
    <n v="2.5034295034395901"/>
    <n v="2.6050294942263701"/>
  </r>
  <r>
    <x v="7"/>
    <x v="0"/>
    <x v="0"/>
    <n v="2.6070677771857498"/>
    <n v="2.5550443406431498"/>
    <n v="2.6601504665587798"/>
  </r>
  <r>
    <x v="8"/>
    <x v="0"/>
    <x v="0"/>
    <n v="2.5919903203354999"/>
    <n v="2.5408796981046202"/>
    <n v="2.6441290493700098"/>
  </r>
  <r>
    <x v="9"/>
    <x v="0"/>
    <x v="0"/>
    <n v="2.5980130636126102"/>
    <n v="2.5470712245654501"/>
    <n v="2.6499737477318899"/>
  </r>
  <r>
    <x v="10"/>
    <x v="0"/>
    <x v="0"/>
    <n v="2.5613010620017298"/>
    <n v="2.5110160094055298"/>
    <n v="2.6125931119667798"/>
  </r>
  <r>
    <x v="11"/>
    <x v="0"/>
    <x v="0"/>
    <n v="2.4546945766625101"/>
    <n v="2.4065246171834"/>
    <n v="2.5038287253211799"/>
  </r>
  <r>
    <x v="12"/>
    <x v="0"/>
    <x v="0"/>
    <n v="2.4906792345350501"/>
    <n v="2.4417426711064398"/>
    <n v="2.5405965676690698"/>
  </r>
  <r>
    <x v="13"/>
    <x v="0"/>
    <x v="0"/>
    <n v="2.4638107601013099"/>
    <n v="2.4160119747735802"/>
    <n v="2.5125552045990598"/>
  </r>
  <r>
    <x v="14"/>
    <x v="0"/>
    <x v="0"/>
    <n v="2.3411134215246099"/>
    <n v="2.2954729697720802"/>
    <n v="2.3876613336844801"/>
  </r>
  <r>
    <x v="15"/>
    <x v="0"/>
    <x v="0"/>
    <n v="2.3661459440222199"/>
    <n v="2.3197590975501301"/>
    <n v="2.4134603607441201"/>
  </r>
  <r>
    <x v="16"/>
    <x v="0"/>
    <x v="0"/>
    <n v="2.34771548712847"/>
    <n v="2.30137873797938"/>
    <n v="2.39498519628378"/>
  </r>
  <r>
    <x v="17"/>
    <x v="0"/>
    <x v="0"/>
    <n v="2.3574540503365302"/>
    <n v="2.3111879515170499"/>
    <n v="2.4046463187038198"/>
  </r>
  <r>
    <x v="18"/>
    <x v="0"/>
    <x v="0"/>
    <n v="2.3999470684899902"/>
    <n v="2.35110933372335"/>
    <n v="2.4497992708966301"/>
  </r>
  <r>
    <x v="19"/>
    <x v="0"/>
    <x v="0"/>
    <n v="2.4790047799999999"/>
    <n v="2.4231456465321499"/>
    <n v="2.5361515961939198"/>
  </r>
  <r>
    <x v="20"/>
    <x v="0"/>
    <x v="0"/>
    <n v="2.4993246304996899"/>
    <n v="2.4483813089019399"/>
    <n v="2.5513279267043298"/>
  </r>
  <r>
    <x v="21"/>
    <x v="0"/>
    <x v="0"/>
    <n v="2.3970749628513399"/>
    <n v="2.3488988811573499"/>
    <n v="2.4462391393781799"/>
  </r>
  <r>
    <x v="22"/>
    <x v="0"/>
    <x v="0"/>
    <n v="2.33635114551819"/>
    <n v="2.2895305627985998"/>
    <n v="2.3841292026658598"/>
  </r>
  <r>
    <x v="23"/>
    <x v="0"/>
    <x v="0"/>
    <n v="2.2251812424635098"/>
    <n v="2.1815543275981399"/>
    <n v="2.2696806122004398"/>
  </r>
  <r>
    <x v="24"/>
    <x v="0"/>
    <x v="0"/>
    <n v="2.2552254740951199"/>
    <n v="2.21112775711069"/>
    <n v="2.3002026557043398"/>
  </r>
  <r>
    <x v="25"/>
    <x v="0"/>
    <x v="0"/>
    <n v="2.2551402165107599"/>
    <n v="2.2107982268603901"/>
    <n v="2.3003715736403798"/>
  </r>
  <r>
    <x v="26"/>
    <x v="0"/>
    <x v="0"/>
    <n v="2.1074582366614898"/>
    <n v="2.0659708567666799"/>
    <n v="2.1497787370647101"/>
  </r>
  <r>
    <x v="27"/>
    <x v="0"/>
    <x v="0"/>
    <n v="2.0158186229164499"/>
    <n v="1.97611757220361"/>
    <n v="2.05631728478859"/>
  </r>
  <r>
    <x v="28"/>
    <x v="0"/>
    <x v="0"/>
    <n v="1.9680222648585"/>
    <n v="1.92932591197512"/>
    <n v="2.0074947477452101"/>
  </r>
  <r>
    <x v="29"/>
    <x v="0"/>
    <x v="0"/>
    <n v="2.0052087353591799"/>
    <n v="1.96587142123516"/>
    <n v="2.0453331936808201"/>
  </r>
  <r>
    <x v="30"/>
    <x v="0"/>
    <x v="0"/>
    <n v="2.0449664803963099"/>
    <n v="2.00474619770895"/>
    <n v="2.0859936837508899"/>
  </r>
  <r>
    <x v="31"/>
    <x v="0"/>
    <x v="0"/>
    <n v="2.0861410544166499"/>
    <n v="2.0444943679293002"/>
    <n v="2.1286360907564501"/>
  </r>
  <r>
    <x v="32"/>
    <x v="0"/>
    <x v="0"/>
    <n v="2.1516914786871899"/>
    <n v="2.1089741108508502"/>
    <n v="2.1952740887782798"/>
  </r>
  <r>
    <x v="33"/>
    <x v="0"/>
    <x v="0"/>
    <n v="2.1469307424478399"/>
    <n v="2.1042032976314302"/>
    <n v="2.1905258004566699"/>
  </r>
  <r>
    <x v="34"/>
    <x v="0"/>
    <x v="0"/>
    <n v="2.1271419320748"/>
    <n v="2.0854364678570598"/>
    <n v="2.1696814402792199"/>
  </r>
  <r>
    <x v="35"/>
    <x v="0"/>
    <x v="0"/>
    <n v="2.0799050282409302"/>
    <n v="2.0391285766718301"/>
    <n v="2.1214968864605002"/>
  </r>
  <r>
    <x v="36"/>
    <x v="0"/>
    <x v="0"/>
    <n v="2.1319834005266198"/>
    <n v="2.09028171069617"/>
    <n v="2.1745170504349001"/>
  </r>
  <r>
    <x v="37"/>
    <x v="0"/>
    <x v="0"/>
    <n v="2.1159203727715701"/>
    <n v="2.0748652283432998"/>
    <n v="2.1577878711113199"/>
  </r>
  <r>
    <x v="38"/>
    <x v="0"/>
    <x v="0"/>
    <n v="2.0783219195154699"/>
    <n v="2.0374700189330599"/>
    <n v="2.1199929132701301"/>
  </r>
  <r>
    <x v="39"/>
    <x v="0"/>
    <x v="0"/>
    <n v="2.1114765768707899"/>
    <n v="2.0699092818475"/>
    <n v="2.1538786137983399"/>
  </r>
  <r>
    <x v="40"/>
    <x v="0"/>
    <x v="0"/>
    <n v="2.1474838129417999"/>
    <n v="2.1051057758536702"/>
    <n v="2.19071496536885"/>
  </r>
  <r>
    <x v="41"/>
    <x v="0"/>
    <x v="0"/>
    <n v="2.1185943334397002"/>
    <n v="2.0768621482241301"/>
    <n v="2.1611650795026298"/>
  </r>
  <r>
    <x v="42"/>
    <x v="0"/>
    <x v="0"/>
    <n v="2.1495733062997302"/>
    <n v="2.1071985651415202"/>
    <n v="2.1928001829509598"/>
  </r>
  <r>
    <x v="43"/>
    <x v="0"/>
    <x v="0"/>
    <n v="2.1494431299237098"/>
    <n v="2.1065518156667999"/>
    <n v="2.1932077504173901"/>
  </r>
  <r>
    <x v="44"/>
    <x v="0"/>
    <x v="0"/>
    <n v="2.1882957312904301"/>
    <n v="2.1452237190544099"/>
    <n v="2.2322325476126599"/>
  </r>
  <r>
    <x v="45"/>
    <x v="0"/>
    <x v="0"/>
    <n v="2.2174597706257"/>
    <n v="2.1739576954525899"/>
    <n v="2.2618323459692302"/>
  </r>
  <r>
    <x v="46"/>
    <x v="0"/>
    <x v="0"/>
    <n v="2.20566785383821"/>
    <n v="2.16199098987091"/>
    <n v="2.25022708431626"/>
  </r>
  <r>
    <x v="47"/>
    <x v="0"/>
    <x v="0"/>
    <n v="2.0664790334977199"/>
    <n v="2.0258677822428699"/>
    <n v="2.1079043920417799"/>
  </r>
  <r>
    <x v="48"/>
    <x v="0"/>
    <x v="0"/>
    <n v="2.0674411737941898"/>
    <n v="2.0271107974678602"/>
    <n v="2.1085739429925101"/>
  </r>
  <r>
    <x v="49"/>
    <x v="0"/>
    <x v="0"/>
    <n v="2.0833297796897101"/>
    <n v="2.0423628029493499"/>
    <n v="2.1251184973963801"/>
  </r>
  <r>
    <x v="50"/>
    <x v="0"/>
    <x v="0"/>
    <n v="2.0487216891958999"/>
    <n v="2.0058692658023398"/>
    <n v="2.0924895910914798"/>
  </r>
  <r>
    <x v="51"/>
    <x v="0"/>
    <x v="0"/>
    <n v="2.0342697291345901"/>
    <n v="1.99338237798937"/>
    <n v="2.07599574299809"/>
  </r>
  <r>
    <x v="52"/>
    <x v="0"/>
    <x v="0"/>
    <n v="2.0219912046990598"/>
    <n v="1.96887494047487"/>
    <n v="2.0765404383146202"/>
  </r>
  <r>
    <x v="53"/>
    <x v="0"/>
    <x v="0"/>
    <n v="2.0194289406425199"/>
    <n v="1.9570490389416"/>
    <n v="2.0837971686749701"/>
  </r>
  <r>
    <x v="54"/>
    <x v="0"/>
    <x v="0"/>
    <n v="2.0570011252786999"/>
    <n v="1.98386971364932"/>
    <n v="2.1328283809597801"/>
  </r>
  <r>
    <x v="55"/>
    <x v="0"/>
    <x v="0"/>
    <n v="2.0913517860873099"/>
    <n v="2.0086561339246298"/>
    <n v="2.1774519885715198"/>
  </r>
  <r>
    <x v="56"/>
    <x v="0"/>
    <x v="0"/>
    <n v="2.12742277417783"/>
    <n v="2.0359478854724098"/>
    <n v="2.2230076184098002"/>
  </r>
  <r>
    <x v="57"/>
    <x v="0"/>
    <x v="0"/>
    <n v="2.1195887444184001"/>
    <n v="2.0226477010786699"/>
    <n v="2.2211759581608099"/>
  </r>
  <r>
    <x v="58"/>
    <x v="0"/>
    <x v="0"/>
    <n v="2.0993457269039402"/>
    <n v="1.9966554720626699"/>
    <n v="2.2073174579873198"/>
  </r>
  <r>
    <x v="59"/>
    <x v="0"/>
    <x v="0"/>
    <n v="2.0138196301201501"/>
    <n v="1.9082559276148301"/>
    <n v="2.1252230604761002"/>
  </r>
  <r>
    <x v="60"/>
    <x v="0"/>
    <x v="0"/>
    <n v="2.0396202522616198"/>
    <n v="1.9274192036347899"/>
    <n v="2.1583528718561098"/>
  </r>
  <r>
    <x v="61"/>
    <x v="0"/>
    <x v="0"/>
    <n v="2.0262308712116202"/>
    <n v="1.90879030403262"/>
    <n v="2.1508971073340302"/>
  </r>
  <r>
    <x v="62"/>
    <x v="0"/>
    <x v="0"/>
    <n v="1.9566527299221499"/>
    <n v="1.8376365514442901"/>
    <n v="2.0833770978830501"/>
  </r>
  <r>
    <x v="63"/>
    <x v="0"/>
    <x v="0"/>
    <n v="1.9454545671952299"/>
    <n v="1.8195674335159899"/>
    <n v="2.08005122717949"/>
  </r>
  <r>
    <x v="64"/>
    <x v="0"/>
    <x v="0"/>
    <n v="1.93472160564234"/>
    <n v="1.8027381626537999"/>
    <n v="2.07636792124543"/>
  </r>
  <r>
    <x v="65"/>
    <x v="0"/>
    <x v="0"/>
    <n v="1.9333122990481499"/>
    <n v="1.7945569403067101"/>
    <n v="2.0827962388376702"/>
  </r>
  <r>
    <x v="66"/>
    <x v="0"/>
    <x v="0"/>
    <n v="1.9677411717933899"/>
    <n v="1.8201218586280801"/>
    <n v="2.12733301389467"/>
  </r>
  <r>
    <x v="67"/>
    <x v="0"/>
    <x v="0"/>
    <n v="1.99898349019241"/>
    <n v="1.84221974868559"/>
    <n v="2.1690870467070398"/>
  </r>
  <r>
    <x v="68"/>
    <x v="0"/>
    <x v="0"/>
    <n v="2.0318170109417801"/>
    <n v="1.8659669326474599"/>
    <n v="2.21240810526858"/>
  </r>
  <r>
    <x v="69"/>
    <x v="0"/>
    <x v="0"/>
    <n v="2.02380104431281"/>
    <n v="1.85242610533744"/>
    <n v="2.21103052648651"/>
  </r>
  <r>
    <x v="70"/>
    <x v="0"/>
    <x v="0"/>
    <n v="2.00392646274635"/>
    <n v="1.82770603359767"/>
    <n v="2.1971373920512498"/>
  </r>
  <r>
    <x v="71"/>
    <x v="0"/>
    <x v="0"/>
    <n v="1.9217806130536901"/>
    <n v="1.7464235002916899"/>
    <n v="2.1147452058977501"/>
  </r>
  <r>
    <x v="72"/>
    <x v="0"/>
    <x v="0"/>
    <n v="1.94693864361839"/>
    <n v="1.7640129075697"/>
    <n v="2.14883352936284"/>
  </r>
  <r>
    <x v="73"/>
    <x v="0"/>
    <x v="0"/>
    <n v="1.93469090121025"/>
    <n v="1.74714958098355"/>
    <n v="2.1423631519395299"/>
  </r>
  <r>
    <x v="74"/>
    <x v="0"/>
    <x v="0"/>
    <n v="1.8687213230091999"/>
    <n v="1.68208971302907"/>
    <n v="2.0760601268886698"/>
  </r>
  <r>
    <x v="75"/>
    <x v="0"/>
    <x v="0"/>
    <n v="1.8585274942227801"/>
    <n v="1.6660766366273001"/>
    <n v="2.0732086212878702"/>
  </r>
  <r>
    <x v="76"/>
    <x v="0"/>
    <x v="0"/>
    <n v="1.84875648451084"/>
    <n v="1.6510112379189199"/>
    <n v="2.0701861141351801"/>
  </r>
  <r>
    <x v="77"/>
    <x v="0"/>
    <x v="0"/>
    <n v="1.84790802592695"/>
    <n v="1.64362261181462"/>
    <n v="2.0775840194332802"/>
  </r>
  <r>
    <x v="78"/>
    <x v="0"/>
    <x v="0"/>
    <n v="1.88130687284633"/>
    <n v="1.66748910148047"/>
    <n v="2.1225419384609299"/>
  </r>
  <r>
    <x v="79"/>
    <x v="0"/>
    <x v="0"/>
    <n v="1.91169227820652"/>
    <n v="1.6880939387442"/>
    <n v="2.1649075816675998"/>
  </r>
  <r>
    <x v="80"/>
    <x v="0"/>
    <x v="0"/>
    <n v="1.9436160644551299"/>
    <n v="1.71017131439487"/>
    <n v="2.2089268918329101"/>
  </r>
  <r>
    <x v="81"/>
    <x v="0"/>
    <x v="0"/>
    <n v="1.9339061563607101"/>
    <n v="1.6952905452326099"/>
    <n v="2.20610740272648"/>
  </r>
  <r>
    <x v="82"/>
    <x v="0"/>
    <x v="0"/>
    <n v="1.9128273643181"/>
    <n v="1.6704482053860801"/>
    <n v="2.1903753219564699"/>
  </r>
  <r>
    <x v="83"/>
    <x v="0"/>
    <x v="0"/>
    <n v="1.83248106555909"/>
    <n v="1.5944013047908201"/>
    <n v="2.1061114573492801"/>
  </r>
  <r>
    <x v="0"/>
    <x v="0"/>
    <x v="1"/>
    <n v="2.7773818652850699"/>
    <n v="2.71950772709287"/>
    <n v="2.8364876292741399"/>
  </r>
  <r>
    <x v="1"/>
    <x v="0"/>
    <x v="1"/>
    <n v="2.6908123177554102"/>
    <n v="2.6384731145750702"/>
    <n v="2.7441897699800202"/>
  </r>
  <r>
    <x v="2"/>
    <x v="0"/>
    <x v="1"/>
    <n v="2.6115590809242599"/>
    <n v="2.5603980168629001"/>
    <n v="2.66374242920027"/>
  </r>
  <r>
    <x v="3"/>
    <x v="0"/>
    <x v="1"/>
    <n v="2.5871640030646099"/>
    <n v="2.5364407164990799"/>
    <n v="2.6389016448182101"/>
  </r>
  <r>
    <x v="4"/>
    <x v="0"/>
    <x v="1"/>
    <n v="2.55779407918337"/>
    <n v="2.5075051651271401"/>
    <n v="2.6090915554201"/>
  </r>
  <r>
    <x v="5"/>
    <x v="0"/>
    <x v="1"/>
    <n v="2.5032737781077801"/>
    <n v="2.4541370968287"/>
    <n v="2.5533942729848298"/>
  </r>
  <r>
    <x v="6"/>
    <x v="0"/>
    <x v="1"/>
    <n v="2.5537242790044101"/>
    <n v="2.5034295034395901"/>
    <n v="2.6050294942263701"/>
  </r>
  <r>
    <x v="7"/>
    <x v="0"/>
    <x v="1"/>
    <n v="2.6070677771857498"/>
    <n v="2.5550443406431498"/>
    <n v="2.6601504665587798"/>
  </r>
  <r>
    <x v="8"/>
    <x v="0"/>
    <x v="1"/>
    <n v="2.5919903203354999"/>
    <n v="2.5408796981046202"/>
    <n v="2.6441290493700098"/>
  </r>
  <r>
    <x v="9"/>
    <x v="0"/>
    <x v="1"/>
    <n v="2.5980130636126102"/>
    <n v="2.5470712245654501"/>
    <n v="2.6499737477318899"/>
  </r>
  <r>
    <x v="10"/>
    <x v="0"/>
    <x v="1"/>
    <n v="2.5613010620017298"/>
    <n v="2.5110160094055298"/>
    <n v="2.6125931119667798"/>
  </r>
  <r>
    <x v="11"/>
    <x v="0"/>
    <x v="1"/>
    <n v="2.4546945766625101"/>
    <n v="2.4065246171834"/>
    <n v="2.5038287253211799"/>
  </r>
  <r>
    <x v="12"/>
    <x v="0"/>
    <x v="1"/>
    <n v="2.4906792345350501"/>
    <n v="2.4417426711064398"/>
    <n v="2.5405965676690698"/>
  </r>
  <r>
    <x v="13"/>
    <x v="0"/>
    <x v="1"/>
    <n v="2.4638107601013099"/>
    <n v="2.4160119747735802"/>
    <n v="2.5125552045990598"/>
  </r>
  <r>
    <x v="14"/>
    <x v="0"/>
    <x v="1"/>
    <n v="2.3411134215246099"/>
    <n v="2.2954729697720802"/>
    <n v="2.3876613336844801"/>
  </r>
  <r>
    <x v="15"/>
    <x v="0"/>
    <x v="1"/>
    <n v="2.3661459440222199"/>
    <n v="2.3197590975501301"/>
    <n v="2.4134603607441201"/>
  </r>
  <r>
    <x v="16"/>
    <x v="0"/>
    <x v="1"/>
    <n v="2.34771548712847"/>
    <n v="2.30137873797938"/>
    <n v="2.39498519628378"/>
  </r>
  <r>
    <x v="17"/>
    <x v="0"/>
    <x v="1"/>
    <n v="2.3574540503365302"/>
    <n v="2.3111879515170499"/>
    <n v="2.4046463187038198"/>
  </r>
  <r>
    <x v="18"/>
    <x v="0"/>
    <x v="1"/>
    <n v="2.3999470684899902"/>
    <n v="2.35110933372335"/>
    <n v="2.4497992708966301"/>
  </r>
  <r>
    <x v="19"/>
    <x v="0"/>
    <x v="1"/>
    <n v="2.4790047799999999"/>
    <n v="2.4231456465321499"/>
    <n v="2.5361515961939198"/>
  </r>
  <r>
    <x v="20"/>
    <x v="0"/>
    <x v="1"/>
    <n v="2.4993246304996899"/>
    <n v="2.4483813089019399"/>
    <n v="2.5513279267043298"/>
  </r>
  <r>
    <x v="21"/>
    <x v="0"/>
    <x v="1"/>
    <n v="2.3970749628513399"/>
    <n v="2.3488988811573499"/>
    <n v="2.4462391393781799"/>
  </r>
  <r>
    <x v="22"/>
    <x v="0"/>
    <x v="1"/>
    <n v="2.33635114551819"/>
    <n v="2.2895305627985998"/>
    <n v="2.3841292026658598"/>
  </r>
  <r>
    <x v="23"/>
    <x v="0"/>
    <x v="1"/>
    <n v="2.2251812424635098"/>
    <n v="2.1815543275981399"/>
    <n v="2.2696806122004398"/>
  </r>
  <r>
    <x v="24"/>
    <x v="0"/>
    <x v="1"/>
    <n v="2.2552254740951199"/>
    <n v="2.21112775711069"/>
    <n v="2.3002026557043398"/>
  </r>
  <r>
    <x v="25"/>
    <x v="0"/>
    <x v="1"/>
    <n v="2.2551402165107599"/>
    <n v="2.2107982268603901"/>
    <n v="2.3003715736403798"/>
  </r>
  <r>
    <x v="26"/>
    <x v="0"/>
    <x v="1"/>
    <n v="2.1074582366614898"/>
    <n v="2.0659708567666799"/>
    <n v="2.1497787370647101"/>
  </r>
  <r>
    <x v="27"/>
    <x v="0"/>
    <x v="1"/>
    <n v="2.0158186229164499"/>
    <n v="1.97611757220361"/>
    <n v="2.05631728478859"/>
  </r>
  <r>
    <x v="28"/>
    <x v="0"/>
    <x v="1"/>
    <n v="1.9680222648585"/>
    <n v="1.92932591197512"/>
    <n v="2.0074947477452101"/>
  </r>
  <r>
    <x v="29"/>
    <x v="0"/>
    <x v="1"/>
    <n v="2.0052087353591799"/>
    <n v="1.96587142123516"/>
    <n v="2.0453331936808201"/>
  </r>
  <r>
    <x v="30"/>
    <x v="0"/>
    <x v="1"/>
    <n v="2.0449664803963099"/>
    <n v="2.00474619770895"/>
    <n v="2.0859936837508899"/>
  </r>
  <r>
    <x v="31"/>
    <x v="0"/>
    <x v="1"/>
    <n v="2.0861410544166499"/>
    <n v="2.0444943679293002"/>
    <n v="2.1286360907564501"/>
  </r>
  <r>
    <x v="32"/>
    <x v="0"/>
    <x v="1"/>
    <n v="2.1516914786871899"/>
    <n v="2.1089741108508502"/>
    <n v="2.1952740887782798"/>
  </r>
  <r>
    <x v="33"/>
    <x v="0"/>
    <x v="1"/>
    <n v="2.1469307424478399"/>
    <n v="2.1042032976314302"/>
    <n v="2.1905258004566699"/>
  </r>
  <r>
    <x v="34"/>
    <x v="0"/>
    <x v="1"/>
    <n v="2.1271419320748"/>
    <n v="2.0854364678570598"/>
    <n v="2.1696814402792199"/>
  </r>
  <r>
    <x v="35"/>
    <x v="0"/>
    <x v="1"/>
    <n v="2.0799050282409302"/>
    <n v="2.0391285766718301"/>
    <n v="2.1214968864605002"/>
  </r>
  <r>
    <x v="36"/>
    <x v="0"/>
    <x v="1"/>
    <n v="2.1319834005266198"/>
    <n v="2.09028171069617"/>
    <n v="2.1745170504349001"/>
  </r>
  <r>
    <x v="37"/>
    <x v="0"/>
    <x v="1"/>
    <n v="2.1159203727715701"/>
    <n v="2.0748652283432998"/>
    <n v="2.1577878711113199"/>
  </r>
  <r>
    <x v="38"/>
    <x v="0"/>
    <x v="1"/>
    <n v="2.0783219195154699"/>
    <n v="2.0374700189330599"/>
    <n v="2.1199929132701301"/>
  </r>
  <r>
    <x v="39"/>
    <x v="0"/>
    <x v="1"/>
    <n v="2.1114765768707899"/>
    <n v="2.0699092818475"/>
    <n v="2.1538786137983399"/>
  </r>
  <r>
    <x v="40"/>
    <x v="0"/>
    <x v="1"/>
    <n v="2.1474838129417999"/>
    <n v="2.1051057758536702"/>
    <n v="2.19071496536885"/>
  </r>
  <r>
    <x v="41"/>
    <x v="0"/>
    <x v="1"/>
    <n v="2.1185943334397002"/>
    <n v="2.0768621482241301"/>
    <n v="2.1611650795026298"/>
  </r>
  <r>
    <x v="42"/>
    <x v="0"/>
    <x v="1"/>
    <n v="2.1495733062997302"/>
    <n v="2.1071985651415202"/>
    <n v="2.1928001829509598"/>
  </r>
  <r>
    <x v="43"/>
    <x v="0"/>
    <x v="1"/>
    <n v="2.1494431299237098"/>
    <n v="2.1065518156667999"/>
    <n v="2.1932077504173901"/>
  </r>
  <r>
    <x v="44"/>
    <x v="0"/>
    <x v="1"/>
    <n v="2.1882957312904301"/>
    <n v="2.1452237190544099"/>
    <n v="2.2322325476126599"/>
  </r>
  <r>
    <x v="45"/>
    <x v="0"/>
    <x v="1"/>
    <n v="2.2174597706257"/>
    <n v="2.1739576954525899"/>
    <n v="2.2618323459692302"/>
  </r>
  <r>
    <x v="46"/>
    <x v="0"/>
    <x v="1"/>
    <n v="2.20566785383821"/>
    <n v="2.16199098987091"/>
    <n v="2.25022708431626"/>
  </r>
  <r>
    <x v="47"/>
    <x v="0"/>
    <x v="1"/>
    <n v="2.0664790334977199"/>
    <n v="2.0258677822428699"/>
    <n v="2.1079043920417799"/>
  </r>
  <r>
    <x v="48"/>
    <x v="0"/>
    <x v="1"/>
    <n v="2.0674411737941898"/>
    <n v="2.0271107974678602"/>
    <n v="2.1085739429925101"/>
  </r>
  <r>
    <x v="49"/>
    <x v="0"/>
    <x v="1"/>
    <n v="2.0833297796897101"/>
    <n v="2.0423628029493499"/>
    <n v="2.1251184973963801"/>
  </r>
  <r>
    <x v="50"/>
    <x v="0"/>
    <x v="1"/>
    <n v="2.0487216891958999"/>
    <n v="2.0058692658023398"/>
    <n v="2.0924895910914798"/>
  </r>
  <r>
    <x v="51"/>
    <x v="0"/>
    <x v="1"/>
    <n v="2.0359160416652"/>
    <n v="1.9205496555108399"/>
    <n v="2.1582124246650598"/>
  </r>
  <r>
    <x v="52"/>
    <x v="0"/>
    <x v="1"/>
    <n v="2.02521243061955"/>
    <n v="1.87766416567971"/>
    <n v="2.18435514939446"/>
  </r>
  <r>
    <x v="53"/>
    <x v="0"/>
    <x v="1"/>
    <n v="2.0242829902712098"/>
    <n v="1.85046778840147"/>
    <n v="2.21442472567501"/>
  </r>
  <r>
    <x v="54"/>
    <x v="0"/>
    <x v="1"/>
    <n v="2.0635603460012302"/>
    <n v="1.86236148579491"/>
    <n v="2.2864955778287901"/>
  </r>
  <r>
    <x v="55"/>
    <x v="0"/>
    <x v="1"/>
    <n v="2.0997184471596002"/>
    <n v="1.87169227542668"/>
    <n v="2.35552479177553"/>
  </r>
  <r>
    <x v="56"/>
    <x v="0"/>
    <x v="1"/>
    <n v="2.1376623289646899"/>
    <n v="1.88550396766918"/>
    <n v="2.42354315399484"/>
  </r>
  <r>
    <x v="57"/>
    <x v="0"/>
    <x v="1"/>
    <n v="2.13091466546304"/>
    <n v="1.8560998944301601"/>
    <n v="2.4464186033906898"/>
  </r>
  <r>
    <x v="58"/>
    <x v="0"/>
    <x v="1"/>
    <n v="2.1117145459381699"/>
    <n v="1.811456142205"/>
    <n v="2.4617423627484101"/>
  </r>
  <r>
    <x v="59"/>
    <x v="0"/>
    <x v="1"/>
    <n v="2.0267536776023198"/>
    <n v="1.71303301831086"/>
    <n v="2.3979283678518901"/>
  </r>
  <r>
    <x v="60"/>
    <x v="0"/>
    <x v="1"/>
    <n v="2.0555510816292299"/>
    <n v="1.7239605391742201"/>
    <n v="2.4509205130710301"/>
  </r>
  <r>
    <x v="61"/>
    <x v="0"/>
    <x v="1"/>
    <n v="2.0448734879749102"/>
    <n v="1.6928239741106801"/>
    <n v="2.4701372651692499"/>
  </r>
  <r>
    <x v="62"/>
    <x v="0"/>
    <x v="1"/>
    <n v="1.97711487178532"/>
    <n v="1.61652010729551"/>
    <n v="2.4181469804137099"/>
  </r>
  <r>
    <x v="63"/>
    <x v="0"/>
    <x v="1"/>
    <n v="1.96686005899507"/>
    <n v="1.5899996386414501"/>
    <n v="2.4330436294787399"/>
  </r>
  <r>
    <x v="64"/>
    <x v="0"/>
    <x v="1"/>
    <n v="1.9570301334337299"/>
    <n v="1.5662574610625599"/>
    <n v="2.4452984508494402"/>
  </r>
  <r>
    <x v="65"/>
    <x v="0"/>
    <x v="1"/>
    <n v="1.9566595342040201"/>
    <n v="1.5449672666684999"/>
    <n v="2.4780567299960699"/>
  </r>
  <r>
    <x v="66"/>
    <x v="0"/>
    <x v="1"/>
    <n v="1.9935840407363901"/>
    <n v="1.5621951195027199"/>
    <n v="2.5440979029200599"/>
  </r>
  <r>
    <x v="67"/>
    <x v="0"/>
    <x v="1"/>
    <n v="2.0274223037999102"/>
    <n v="1.57199077259915"/>
    <n v="2.61479982554164"/>
  </r>
  <r>
    <x v="68"/>
    <x v="0"/>
    <x v="1"/>
    <n v="2.0629468627874799"/>
    <n v="1.58467430283235"/>
    <n v="2.6855674702860002"/>
  </r>
  <r>
    <x v="69"/>
    <x v="0"/>
    <x v="1"/>
    <n v="2.05535025937073"/>
    <n v="1.5561047576684801"/>
    <n v="2.7147688276622501"/>
  </r>
  <r>
    <x v="70"/>
    <x v="0"/>
    <x v="1"/>
    <n v="2.0357207480288002"/>
    <n v="1.51591112440397"/>
    <n v="2.7337743600135802"/>
  </r>
  <r>
    <x v="71"/>
    <x v="0"/>
    <x v="1"/>
    <n v="1.9527866950572299"/>
    <n v="1.43334926986849"/>
    <n v="2.6604652170663199"/>
  </r>
  <r>
    <x v="72"/>
    <x v="0"/>
    <x v="1"/>
    <n v="1.97780537641702"/>
    <n v="1.44626194524809"/>
    <n v="2.7047065158815702"/>
  </r>
  <r>
    <x v="73"/>
    <x v="0"/>
    <x v="1"/>
    <n v="1.9648217880268599"/>
    <n v="1.42289405584179"/>
    <n v="2.7131497547940602"/>
  </r>
  <r>
    <x v="74"/>
    <x v="0"/>
    <x v="1"/>
    <n v="1.89735235504255"/>
    <n v="1.36131296415133"/>
    <n v="2.6444660808984501"/>
  </r>
  <r>
    <x v="75"/>
    <x v="0"/>
    <x v="1"/>
    <n v="1.8849680912822"/>
    <n v="1.34193215511013"/>
    <n v="2.6477528626329598"/>
  </r>
  <r>
    <x v="76"/>
    <x v="0"/>
    <x v="1"/>
    <n v="1.8731018675475299"/>
    <n v="1.3237401658602601"/>
    <n v="2.6504526316386099"/>
  </r>
  <r>
    <x v="77"/>
    <x v="0"/>
    <x v="1"/>
    <n v="1.8702238945266501"/>
    <n v="1.30798185571869"/>
    <n v="2.6741482692330898"/>
  </r>
  <r>
    <x v="78"/>
    <x v="0"/>
    <x v="1"/>
    <n v="1.90303260282109"/>
    <n v="1.3226686679606099"/>
    <n v="2.7380501066710501"/>
  </r>
  <r>
    <x v="79"/>
    <x v="0"/>
    <x v="1"/>
    <n v="1.9327262895244901"/>
    <n v="1.3315773645018401"/>
    <n v="2.8052676545884001"/>
  </r>
  <r>
    <x v="80"/>
    <x v="0"/>
    <x v="1"/>
    <n v="1.963941872418"/>
    <n v="1.34202154831917"/>
    <n v="2.87407283666015"/>
  </r>
  <r>
    <x v="81"/>
    <x v="0"/>
    <x v="1"/>
    <n v="1.95258439841945"/>
    <n v="1.3205117917075599"/>
    <n v="2.88720317144685"/>
  </r>
  <r>
    <x v="82"/>
    <x v="0"/>
    <x v="1"/>
    <n v="1.9297231484017701"/>
    <n v="1.2906157664512601"/>
    <n v="2.8853137597387799"/>
  </r>
  <r>
    <x v="83"/>
    <x v="0"/>
    <x v="1"/>
    <n v="1.8472045756092801"/>
    <n v="1.2232355608026599"/>
    <n v="2.7894584277069998"/>
  </r>
  <r>
    <x v="0"/>
    <x v="0"/>
    <x v="2"/>
    <n v="2.7902820245470599"/>
    <n v="2.7428597673146999"/>
    <n v="2.8385241816911102"/>
  </r>
  <r>
    <x v="1"/>
    <x v="0"/>
    <x v="2"/>
    <n v="2.6805040854664002"/>
    <n v="2.6363568976918099"/>
    <n v="2.7253905412020698"/>
  </r>
  <r>
    <x v="2"/>
    <x v="0"/>
    <x v="2"/>
    <n v="2.6110197926080101"/>
    <n v="2.5677340958164101"/>
    <n v="2.6550351800439"/>
  </r>
  <r>
    <x v="3"/>
    <x v="0"/>
    <x v="2"/>
    <n v="2.5894546408832801"/>
    <n v="2.5464924564576399"/>
    <n v="2.6331416455556602"/>
  </r>
  <r>
    <x v="4"/>
    <x v="0"/>
    <x v="2"/>
    <n v="2.5621361948411301"/>
    <n v="2.5196198522658899"/>
    <n v="2.6053699628582798"/>
  </r>
  <r>
    <x v="5"/>
    <x v="0"/>
    <x v="2"/>
    <n v="2.49330476469276"/>
    <n v="2.4519430401398901"/>
    <n v="2.5353642184464902"/>
  </r>
  <r>
    <x v="6"/>
    <x v="0"/>
    <x v="2"/>
    <n v="2.5512055592851701"/>
    <n v="2.50866825464677"/>
    <n v="2.59446413198383"/>
  </r>
  <r>
    <x v="7"/>
    <x v="0"/>
    <x v="2"/>
    <n v="2.6174552237722102"/>
    <n v="2.5733888751088201"/>
    <n v="2.6622761583838499"/>
  </r>
  <r>
    <x v="8"/>
    <x v="0"/>
    <x v="2"/>
    <n v="2.58205359921635"/>
    <n v="2.5390557773587301"/>
    <n v="2.6257795707668499"/>
  </r>
  <r>
    <x v="9"/>
    <x v="0"/>
    <x v="2"/>
    <n v="2.6009601054845199"/>
    <n v="2.5578009950684302"/>
    <n v="2.6448474620837699"/>
  </r>
  <r>
    <x v="10"/>
    <x v="0"/>
    <x v="2"/>
    <n v="2.5547241893488"/>
    <n v="2.5122303170210998"/>
    <n v="2.59793683701057"/>
  </r>
  <r>
    <x v="11"/>
    <x v="0"/>
    <x v="2"/>
    <n v="2.4566543154575702"/>
    <n v="2.41590229437181"/>
    <n v="2.4980937514385602"/>
  </r>
  <r>
    <x v="12"/>
    <x v="0"/>
    <x v="2"/>
    <n v="2.4986595989612601"/>
    <n v="2.4572300322660601"/>
    <n v="2.5407876794195201"/>
  </r>
  <r>
    <x v="13"/>
    <x v="0"/>
    <x v="2"/>
    <n v="2.4698404768894102"/>
    <n v="2.42915971021616"/>
    <n v="2.51120251814916"/>
  </r>
  <r>
    <x v="14"/>
    <x v="0"/>
    <x v="2"/>
    <n v="2.3278439561933002"/>
    <n v="2.2893628198713301"/>
    <n v="2.3669719091053598"/>
  </r>
  <r>
    <x v="15"/>
    <x v="0"/>
    <x v="2"/>
    <n v="2.3728873547094298"/>
    <n v="2.3335243462183501"/>
    <n v="2.4129143573173799"/>
  </r>
  <r>
    <x v="16"/>
    <x v="0"/>
    <x v="2"/>
    <n v="2.3453264846215398"/>
    <n v="2.3063598493614799"/>
    <n v="2.3849514727678098"/>
  </r>
  <r>
    <x v="17"/>
    <x v="0"/>
    <x v="2"/>
    <n v="2.36006413100931"/>
    <n v="2.3209124812323298"/>
    <n v="2.3998762329544201"/>
  </r>
  <r>
    <x v="18"/>
    <x v="0"/>
    <x v="2"/>
    <n v="2.4042503463961298"/>
    <n v="2.36366040269291"/>
    <n v="2.4455373206575199"/>
  </r>
  <r>
    <x v="19"/>
    <x v="0"/>
    <x v="2"/>
    <n v="2.8341887760000199"/>
    <n v="2.78445498558838"/>
    <n v="2.88481087307184"/>
  </r>
  <r>
    <x v="20"/>
    <x v="0"/>
    <x v="2"/>
    <n v="2.78733510664734"/>
    <n v="2.7400125315535901"/>
    <n v="2.8354749868036402"/>
  </r>
  <r>
    <x v="21"/>
    <x v="0"/>
    <x v="2"/>
    <n v="2.68467507692848"/>
    <n v="2.6393972319979602"/>
    <n v="2.7307296458839798"/>
  </r>
  <r>
    <x v="22"/>
    <x v="0"/>
    <x v="2"/>
    <n v="2.6273306135430801"/>
    <n v="2.5833458061272201"/>
    <n v="2.6720643192592899"/>
  </r>
  <r>
    <x v="23"/>
    <x v="0"/>
    <x v="2"/>
    <n v="2.53155237803053"/>
    <n v="2.4895663531372101"/>
    <n v="2.57424648860477"/>
  </r>
  <r>
    <x v="24"/>
    <x v="0"/>
    <x v="2"/>
    <n v="2.58912505962082"/>
    <n v="2.5462658386398598"/>
    <n v="2.63270569499426"/>
  </r>
  <r>
    <x v="25"/>
    <x v="0"/>
    <x v="2"/>
    <n v="2.6129066209454401"/>
    <n v="2.5697003526810001"/>
    <n v="2.65683934808101"/>
  </r>
  <r>
    <x v="26"/>
    <x v="0"/>
    <x v="2"/>
    <n v="2.4162969657529998"/>
    <n v="2.37615816717727"/>
    <n v="2.4571138013270102"/>
  </r>
  <r>
    <x v="27"/>
    <x v="0"/>
    <x v="2"/>
    <n v="2.3078225433834301"/>
    <n v="2.2695033548361101"/>
    <n v="2.3467887282032098"/>
  </r>
  <r>
    <x v="28"/>
    <x v="0"/>
    <x v="2"/>
    <n v="2.23848385215038"/>
    <n v="2.2011999090204699"/>
    <n v="2.2763993110320402"/>
  </r>
  <r>
    <x v="29"/>
    <x v="0"/>
    <x v="2"/>
    <n v="2.2538081714853702"/>
    <n v="2.2164272486105898"/>
    <n v="2.2918195384209099"/>
  </r>
  <r>
    <x v="30"/>
    <x v="0"/>
    <x v="2"/>
    <n v="2.2908929256641599"/>
    <n v="2.2527501589847101"/>
    <n v="2.3296815121404202"/>
  </r>
  <r>
    <x v="31"/>
    <x v="0"/>
    <x v="2"/>
    <n v="2.2626333970458501"/>
    <n v="2.2245406758167499"/>
    <n v="2.3013784126683099"/>
  </r>
  <r>
    <x v="32"/>
    <x v="0"/>
    <x v="2"/>
    <n v="2.3177818004335098"/>
    <n v="2.2789989282486598"/>
    <n v="2.3572246602806"/>
  </r>
  <r>
    <x v="33"/>
    <x v="0"/>
    <x v="2"/>
    <n v="2.31421166512134"/>
    <n v="2.2753815957938599"/>
    <n v="2.3537043812271699"/>
  </r>
  <r>
    <x v="34"/>
    <x v="0"/>
    <x v="2"/>
    <n v="2.3142445952194"/>
    <n v="2.27579051797973"/>
    <n v="2.3533484317601499"/>
  </r>
  <r>
    <x v="35"/>
    <x v="0"/>
    <x v="2"/>
    <n v="2.3114944015080301"/>
    <n v="2.2731511360467498"/>
    <n v="2.3504844369895399"/>
  </r>
  <r>
    <x v="36"/>
    <x v="0"/>
    <x v="2"/>
    <n v="2.36646858743419"/>
    <n v="2.3272468502343799"/>
    <n v="2.4063513394587899"/>
  </r>
  <r>
    <x v="37"/>
    <x v="0"/>
    <x v="2"/>
    <n v="2.3345448125586499"/>
    <n v="2.2960781355591098"/>
    <n v="2.3736559298394"/>
  </r>
  <r>
    <x v="38"/>
    <x v="0"/>
    <x v="2"/>
    <n v="2.26529453717834"/>
    <n v="2.2268562871707198"/>
    <n v="2.3043962781674701"/>
  </r>
  <r>
    <x v="39"/>
    <x v="0"/>
    <x v="2"/>
    <n v="2.2245103712267098"/>
    <n v="2.17078814422266"/>
    <n v="2.2795621050653998"/>
  </r>
  <r>
    <x v="40"/>
    <x v="0"/>
    <x v="2"/>
    <n v="2.1856972652500901"/>
    <n v="2.1154566715728"/>
    <n v="2.2582700934119901"/>
  </r>
  <r>
    <x v="41"/>
    <x v="0"/>
    <x v="2"/>
    <n v="2.1939301537956002"/>
    <n v="2.11040937146785"/>
    <n v="2.2807563237770099"/>
  </r>
  <r>
    <x v="42"/>
    <x v="0"/>
    <x v="2"/>
    <n v="2.2384206753617701"/>
    <n v="2.1410182604863599"/>
    <n v="2.3402542670275199"/>
  </r>
  <r>
    <x v="43"/>
    <x v="0"/>
    <x v="2"/>
    <n v="2.29642027385152"/>
    <n v="2.1848543988985498"/>
    <n v="2.4136830705125298"/>
  </r>
  <r>
    <x v="44"/>
    <x v="0"/>
    <x v="2"/>
    <n v="2.3606939103075"/>
    <n v="2.2366780973442202"/>
    <n v="2.49158595721934"/>
  </r>
  <r>
    <x v="45"/>
    <x v="0"/>
    <x v="2"/>
    <n v="2.3270195989992302"/>
    <n v="2.19520239808858"/>
    <n v="2.4667521404138202"/>
  </r>
  <r>
    <x v="46"/>
    <x v="0"/>
    <x v="2"/>
    <n v="2.2791740796074502"/>
    <n v="2.1398123340117001"/>
    <n v="2.42761218009041"/>
  </r>
  <r>
    <x v="47"/>
    <x v="0"/>
    <x v="2"/>
    <n v="2.2305139284076798"/>
    <n v="2.0877199723378501"/>
    <n v="2.38307457453186"/>
  </r>
  <r>
    <x v="48"/>
    <x v="0"/>
    <x v="2"/>
    <n v="2.2704762917324102"/>
    <n v="2.1169401188739201"/>
    <n v="2.4351480447454099"/>
  </r>
  <r>
    <x v="49"/>
    <x v="0"/>
    <x v="2"/>
    <n v="2.24550026593815"/>
    <n v="2.0879382000494302"/>
    <n v="2.4149524369107098"/>
  </r>
  <r>
    <x v="50"/>
    <x v="0"/>
    <x v="2"/>
    <n v="2.1189527872362302"/>
    <n v="1.9616690271575401"/>
    <n v="2.2888473296854501"/>
  </r>
  <r>
    <x v="51"/>
    <x v="0"/>
    <x v="2"/>
    <n v="2.0938625616169202"/>
    <n v="1.9294427561672101"/>
    <n v="2.2722936002777199"/>
  </r>
  <r>
    <x v="52"/>
    <x v="0"/>
    <x v="2"/>
    <n v="2.06032751959772"/>
    <n v="1.8910518477270299"/>
    <n v="2.2447557390422399"/>
  </r>
  <r>
    <x v="53"/>
    <x v="0"/>
    <x v="2"/>
    <n v="2.0481073494642699"/>
    <n v="1.87191555491988"/>
    <n v="2.2408829842268601"/>
  </r>
  <r>
    <x v="54"/>
    <x v="0"/>
    <x v="2"/>
    <n v="2.09546368992839"/>
    <n v="1.90886405167357"/>
    <n v="2.3003042421793198"/>
  </r>
  <r>
    <x v="55"/>
    <x v="0"/>
    <x v="2"/>
    <n v="2.15443401345635"/>
    <n v="1.9545581467089499"/>
    <n v="2.37474946762421"/>
  </r>
  <r>
    <x v="56"/>
    <x v="0"/>
    <x v="2"/>
    <n v="2.2163882433636499"/>
    <n v="2.0041015953955199"/>
    <n v="2.4511615861226299"/>
  </r>
  <r>
    <x v="57"/>
    <x v="0"/>
    <x v="2"/>
    <n v="2.1740528765475502"/>
    <n v="1.9563306081223499"/>
    <n v="2.41600570496675"/>
  </r>
  <r>
    <x v="58"/>
    <x v="0"/>
    <x v="2"/>
    <n v="2.1199672582445799"/>
    <n v="1.89610131507631"/>
    <n v="2.3702642576608102"/>
  </r>
  <r>
    <x v="59"/>
    <x v="0"/>
    <x v="2"/>
    <n v="2.0533740632278801"/>
    <n v="1.82762133937588"/>
    <n v="2.3070123732396501"/>
  </r>
  <r>
    <x v="60"/>
    <x v="0"/>
    <x v="2"/>
    <n v="2.1042662543194499"/>
    <n v="1.8690975063806099"/>
    <n v="2.3690237956831002"/>
  </r>
  <r>
    <x v="61"/>
    <x v="0"/>
    <x v="2"/>
    <n v="2.0690438276652001"/>
    <n v="1.8316141213380499"/>
    <n v="2.33725123153785"/>
  </r>
  <r>
    <x v="62"/>
    <x v="0"/>
    <x v="2"/>
    <n v="1.96182675031497"/>
    <n v="1.7298904490998099"/>
    <n v="2.2248600772691698"/>
  </r>
  <r>
    <x v="63"/>
    <x v="0"/>
    <x v="2"/>
    <n v="1.94046018444505"/>
    <n v="1.7049233179782399"/>
    <n v="2.2085367052646498"/>
  </r>
  <r>
    <x v="64"/>
    <x v="0"/>
    <x v="2"/>
    <n v="1.9111578664867599"/>
    <n v="1.67429324835246"/>
    <n v="2.1815320549302801"/>
  </r>
  <r>
    <x v="65"/>
    <x v="0"/>
    <x v="2"/>
    <n v="1.9016483347694499"/>
    <n v="1.65999608775216"/>
    <n v="2.1784788625787002"/>
  </r>
  <r>
    <x v="66"/>
    <x v="0"/>
    <x v="2"/>
    <n v="1.94833320985763"/>
    <n v="1.6970528180919"/>
    <n v="2.2368203606663499"/>
  </r>
  <r>
    <x v="67"/>
    <x v="0"/>
    <x v="2"/>
    <n v="2.0060515044761602"/>
    <n v="1.7412082375861"/>
    <n v="2.3111782679078199"/>
  </r>
  <r>
    <x v="68"/>
    <x v="0"/>
    <x v="2"/>
    <n v="2.0667146059789401"/>
    <n v="1.78892455398985"/>
    <n v="2.3876408052202902"/>
  </r>
  <r>
    <x v="69"/>
    <x v="0"/>
    <x v="2"/>
    <n v="2.03238900198938"/>
    <n v="1.75108714643575"/>
    <n v="2.3588803468833701"/>
  </r>
  <r>
    <x v="70"/>
    <x v="0"/>
    <x v="2"/>
    <n v="1.9870311936294101"/>
    <n v="1.7024444717888501"/>
    <n v="2.3191904522487201"/>
  </r>
  <r>
    <x v="71"/>
    <x v="0"/>
    <x v="2"/>
    <n v="1.9295039235125899"/>
    <n v="1.6464748414645001"/>
    <n v="2.26118571452872"/>
  </r>
  <r>
    <x v="72"/>
    <x v="0"/>
    <x v="2"/>
    <n v="1.9802406879619601"/>
    <n v="1.6870401916111899"/>
    <n v="2.32439819854857"/>
  </r>
  <r>
    <x v="73"/>
    <x v="0"/>
    <x v="2"/>
    <n v="1.9499643636589099"/>
    <n v="1.6565450013329499"/>
    <n v="2.29535630875111"/>
  </r>
  <r>
    <x v="74"/>
    <x v="0"/>
    <x v="2"/>
    <n v="1.8513793931985301"/>
    <n v="1.5675029997629599"/>
    <n v="2.1866660912792399"/>
  </r>
  <r>
    <x v="75"/>
    <x v="0"/>
    <x v="2"/>
    <n v="1.8347373181489599"/>
    <n v="1.5489305001726099"/>
    <n v="2.1732808710483198"/>
  </r>
  <r>
    <x v="76"/>
    <x v="0"/>
    <x v="2"/>
    <n v="1.81039436915302"/>
    <n v="1.52474149070675"/>
    <n v="2.1495629205589202"/>
  </r>
  <r>
    <x v="77"/>
    <x v="0"/>
    <x v="2"/>
    <n v="1.8048504423957401"/>
    <n v="1.51549255465969"/>
    <n v="2.1494563661169499"/>
  </r>
  <r>
    <x v="78"/>
    <x v="0"/>
    <x v="2"/>
    <n v="1.8515671821219"/>
    <n v="1.5515805295471301"/>
    <n v="2.2095540415884698"/>
  </r>
  <r>
    <x v="79"/>
    <x v="0"/>
    <x v="2"/>
    <n v="1.9089844463876999"/>
    <n v="1.5946504824632299"/>
    <n v="2.2852792236459201"/>
  </r>
  <r>
    <x v="80"/>
    <x v="0"/>
    <x v="2"/>
    <n v="1.9693589860780401"/>
    <n v="1.64083358373677"/>
    <n v="2.3636612844148801"/>
  </r>
  <r>
    <x v="81"/>
    <x v="0"/>
    <x v="2"/>
    <n v="1.9404764489344399"/>
    <n v="1.6104137392322699"/>
    <n v="2.3381872354518798"/>
  </r>
  <r>
    <x v="82"/>
    <x v="0"/>
    <x v="2"/>
    <n v="1.9010430719364599"/>
    <n v="1.5704621866692301"/>
    <n v="2.3012109377956"/>
  </r>
  <r>
    <x v="83"/>
    <x v="0"/>
    <x v="2"/>
    <n v="1.84965230317736"/>
    <n v="1.5228195386121799"/>
    <n v="2.2466310392676001"/>
  </r>
  <r>
    <x v="0"/>
    <x v="0"/>
    <x v="3"/>
    <n v="2.7902820245470599"/>
    <n v="2.7428597673146999"/>
    <n v="2.8385241816911102"/>
  </r>
  <r>
    <x v="1"/>
    <x v="0"/>
    <x v="3"/>
    <n v="2.6805040854664002"/>
    <n v="2.6363568976918099"/>
    <n v="2.7253905412020698"/>
  </r>
  <r>
    <x v="2"/>
    <x v="0"/>
    <x v="3"/>
    <n v="2.6110197926080101"/>
    <n v="2.5677340958164101"/>
    <n v="2.6550351800439"/>
  </r>
  <r>
    <x v="3"/>
    <x v="0"/>
    <x v="3"/>
    <n v="2.5894546408832801"/>
    <n v="2.5464924564576399"/>
    <n v="2.6331416455556602"/>
  </r>
  <r>
    <x v="4"/>
    <x v="0"/>
    <x v="3"/>
    <n v="2.5621361948411301"/>
    <n v="2.5196198522658899"/>
    <n v="2.6053699628582798"/>
  </r>
  <r>
    <x v="5"/>
    <x v="0"/>
    <x v="3"/>
    <n v="2.49330476469276"/>
    <n v="2.4519430401398901"/>
    <n v="2.5353642184464902"/>
  </r>
  <r>
    <x v="6"/>
    <x v="0"/>
    <x v="3"/>
    <n v="2.5512055592851701"/>
    <n v="2.50866825464677"/>
    <n v="2.59446413198383"/>
  </r>
  <r>
    <x v="7"/>
    <x v="0"/>
    <x v="3"/>
    <n v="2.6174552237722102"/>
    <n v="2.5733888751088201"/>
    <n v="2.6622761583838499"/>
  </r>
  <r>
    <x v="8"/>
    <x v="0"/>
    <x v="3"/>
    <n v="2.58205359921635"/>
    <n v="2.5390557773587301"/>
    <n v="2.6257795707668499"/>
  </r>
  <r>
    <x v="9"/>
    <x v="0"/>
    <x v="3"/>
    <n v="2.6009601054845199"/>
    <n v="2.5578009950684302"/>
    <n v="2.6448474620837699"/>
  </r>
  <r>
    <x v="10"/>
    <x v="0"/>
    <x v="3"/>
    <n v="2.5547241893488"/>
    <n v="2.5122303170210998"/>
    <n v="2.59793683701057"/>
  </r>
  <r>
    <x v="11"/>
    <x v="0"/>
    <x v="3"/>
    <n v="2.4566543154575702"/>
    <n v="2.41590229437181"/>
    <n v="2.4980937514385602"/>
  </r>
  <r>
    <x v="12"/>
    <x v="0"/>
    <x v="3"/>
    <n v="2.4986595989612601"/>
    <n v="2.4572300322660601"/>
    <n v="2.5407876794195201"/>
  </r>
  <r>
    <x v="13"/>
    <x v="0"/>
    <x v="3"/>
    <n v="2.4698404768894102"/>
    <n v="2.42915971021616"/>
    <n v="2.51120251814916"/>
  </r>
  <r>
    <x v="14"/>
    <x v="0"/>
    <x v="3"/>
    <n v="2.3278439561933002"/>
    <n v="2.2893628198713301"/>
    <n v="2.3669719091053598"/>
  </r>
  <r>
    <x v="15"/>
    <x v="0"/>
    <x v="3"/>
    <n v="2.3728873547094298"/>
    <n v="2.3335243462183501"/>
    <n v="2.4129143573173799"/>
  </r>
  <r>
    <x v="16"/>
    <x v="0"/>
    <x v="3"/>
    <n v="2.3453264846215398"/>
    <n v="2.3063598493614799"/>
    <n v="2.3849514727678098"/>
  </r>
  <r>
    <x v="17"/>
    <x v="0"/>
    <x v="3"/>
    <n v="2.36006413100931"/>
    <n v="2.3209124812323298"/>
    <n v="2.3998762329544201"/>
  </r>
  <r>
    <x v="18"/>
    <x v="0"/>
    <x v="3"/>
    <n v="2.4042503463961298"/>
    <n v="2.36366040269291"/>
    <n v="2.4455373206575199"/>
  </r>
  <r>
    <x v="19"/>
    <x v="0"/>
    <x v="3"/>
    <n v="2.8341887760000199"/>
    <n v="2.78445498558838"/>
    <n v="2.88481087307184"/>
  </r>
  <r>
    <x v="20"/>
    <x v="0"/>
    <x v="3"/>
    <n v="2.78733510664734"/>
    <n v="2.7400125315535901"/>
    <n v="2.8354749868036402"/>
  </r>
  <r>
    <x v="21"/>
    <x v="0"/>
    <x v="3"/>
    <n v="2.68467507692848"/>
    <n v="2.6393972319979602"/>
    <n v="2.7307296458839798"/>
  </r>
  <r>
    <x v="22"/>
    <x v="0"/>
    <x v="3"/>
    <n v="2.6273306135430801"/>
    <n v="2.5833458061272201"/>
    <n v="2.6720643192592899"/>
  </r>
  <r>
    <x v="23"/>
    <x v="0"/>
    <x v="3"/>
    <n v="2.53155237803053"/>
    <n v="2.4895663531372101"/>
    <n v="2.57424648860477"/>
  </r>
  <r>
    <x v="24"/>
    <x v="0"/>
    <x v="3"/>
    <n v="2.58912505962082"/>
    <n v="2.5462658386398598"/>
    <n v="2.63270569499426"/>
  </r>
  <r>
    <x v="25"/>
    <x v="0"/>
    <x v="3"/>
    <n v="2.6129066209454401"/>
    <n v="2.5697003526810001"/>
    <n v="2.65683934808101"/>
  </r>
  <r>
    <x v="26"/>
    <x v="0"/>
    <x v="3"/>
    <n v="2.4162969657529998"/>
    <n v="2.37615816717727"/>
    <n v="2.4571138013270102"/>
  </r>
  <r>
    <x v="27"/>
    <x v="0"/>
    <x v="3"/>
    <n v="2.3078225433834301"/>
    <n v="2.2695033548361101"/>
    <n v="2.3467887282032098"/>
  </r>
  <r>
    <x v="28"/>
    <x v="0"/>
    <x v="3"/>
    <n v="2.23848385215038"/>
    <n v="2.2011999090204699"/>
    <n v="2.2763993110320402"/>
  </r>
  <r>
    <x v="29"/>
    <x v="0"/>
    <x v="3"/>
    <n v="2.2538081714853702"/>
    <n v="2.2164272486105898"/>
    <n v="2.2918195384209099"/>
  </r>
  <r>
    <x v="30"/>
    <x v="0"/>
    <x v="3"/>
    <n v="2.2908929256641599"/>
    <n v="2.2527501589847101"/>
    <n v="2.3296815121404202"/>
  </r>
  <r>
    <x v="31"/>
    <x v="0"/>
    <x v="3"/>
    <n v="2.2626333970458501"/>
    <n v="2.2245406758167499"/>
    <n v="2.3013784126683099"/>
  </r>
  <r>
    <x v="32"/>
    <x v="0"/>
    <x v="3"/>
    <n v="2.3177818004335098"/>
    <n v="2.2789989282486598"/>
    <n v="2.3572246602806"/>
  </r>
  <r>
    <x v="33"/>
    <x v="0"/>
    <x v="3"/>
    <n v="2.31421166512134"/>
    <n v="2.2753815957938599"/>
    <n v="2.3537043812271699"/>
  </r>
  <r>
    <x v="34"/>
    <x v="0"/>
    <x v="3"/>
    <n v="2.3142445952194"/>
    <n v="2.27579051797973"/>
    <n v="2.3533484317601499"/>
  </r>
  <r>
    <x v="35"/>
    <x v="0"/>
    <x v="3"/>
    <n v="2.3114944015080301"/>
    <n v="2.2731511360467498"/>
    <n v="2.3504844369895399"/>
  </r>
  <r>
    <x v="36"/>
    <x v="0"/>
    <x v="3"/>
    <n v="2.36646858743419"/>
    <n v="2.3272468502343799"/>
    <n v="2.4063513394587899"/>
  </r>
  <r>
    <x v="37"/>
    <x v="0"/>
    <x v="3"/>
    <n v="2.3345448125586499"/>
    <n v="2.2960781355591098"/>
    <n v="2.3736559298394"/>
  </r>
  <r>
    <x v="38"/>
    <x v="0"/>
    <x v="3"/>
    <n v="2.26529453717834"/>
    <n v="2.2268562871707198"/>
    <n v="2.3043962781674701"/>
  </r>
  <r>
    <x v="39"/>
    <x v="0"/>
    <x v="3"/>
    <n v="2.2245103712267098"/>
    <n v="2.17078814422266"/>
    <n v="2.2795621050653998"/>
  </r>
  <r>
    <x v="40"/>
    <x v="0"/>
    <x v="3"/>
    <n v="2.1856972652500901"/>
    <n v="2.1154566715728"/>
    <n v="2.2582700934119901"/>
  </r>
  <r>
    <x v="41"/>
    <x v="0"/>
    <x v="3"/>
    <n v="2.1939301537956002"/>
    <n v="2.11040937146785"/>
    <n v="2.2807563237770099"/>
  </r>
  <r>
    <x v="42"/>
    <x v="0"/>
    <x v="3"/>
    <n v="2.2384206753617701"/>
    <n v="2.1410182604863599"/>
    <n v="2.3402542670275199"/>
  </r>
  <r>
    <x v="43"/>
    <x v="0"/>
    <x v="3"/>
    <n v="2.29642027385152"/>
    <n v="2.1848543988985498"/>
    <n v="2.4136830705125298"/>
  </r>
  <r>
    <x v="44"/>
    <x v="0"/>
    <x v="3"/>
    <n v="2.3606939103075"/>
    <n v="2.2366780973442202"/>
    <n v="2.49158595721934"/>
  </r>
  <r>
    <x v="45"/>
    <x v="0"/>
    <x v="3"/>
    <n v="2.3270195989992302"/>
    <n v="2.19520239808858"/>
    <n v="2.4667521404138202"/>
  </r>
  <r>
    <x v="46"/>
    <x v="0"/>
    <x v="3"/>
    <n v="2.2791740796074502"/>
    <n v="2.1398123340117001"/>
    <n v="2.42761218009041"/>
  </r>
  <r>
    <x v="47"/>
    <x v="0"/>
    <x v="3"/>
    <n v="2.2305139284076798"/>
    <n v="2.0877199723378501"/>
    <n v="2.38307457453186"/>
  </r>
  <r>
    <x v="48"/>
    <x v="0"/>
    <x v="3"/>
    <n v="2.2704762917324102"/>
    <n v="2.1169401188739201"/>
    <n v="2.4351480447454099"/>
  </r>
  <r>
    <x v="49"/>
    <x v="0"/>
    <x v="3"/>
    <n v="2.24550026593815"/>
    <n v="2.0879382000494302"/>
    <n v="2.4149524369107098"/>
  </r>
  <r>
    <x v="50"/>
    <x v="0"/>
    <x v="3"/>
    <n v="2.1189527872362302"/>
    <n v="1.9616690271575401"/>
    <n v="2.2888473296854501"/>
  </r>
  <r>
    <x v="51"/>
    <x v="0"/>
    <x v="3"/>
    <n v="2.0908476210650702"/>
    <n v="1.9261211258676401"/>
    <n v="2.2696619209470601"/>
  </r>
  <r>
    <x v="52"/>
    <x v="0"/>
    <x v="3"/>
    <n v="2.0544939782110898"/>
    <n v="1.8847400324507799"/>
    <n v="2.2395372485493499"/>
  </r>
  <r>
    <x v="53"/>
    <x v="0"/>
    <x v="3"/>
    <n v="2.0393676998274501"/>
    <n v="1.8624239630839801"/>
    <n v="2.2331223703826302"/>
  </r>
  <r>
    <x v="54"/>
    <x v="0"/>
    <x v="3"/>
    <n v="2.08419561923133"/>
    <n v="1.89701464773869"/>
    <n v="2.2898459874314301"/>
  </r>
  <r>
    <x v="55"/>
    <x v="0"/>
    <x v="3"/>
    <n v="2.1403801017745301"/>
    <n v="1.9397043040139801"/>
    <n v="2.3618171958437402"/>
  </r>
  <r>
    <x v="56"/>
    <x v="0"/>
    <x v="3"/>
    <n v="2.1993933861952502"/>
    <n v="1.9862595838986801"/>
    <n v="2.4353973198933998"/>
  </r>
  <r>
    <x v="57"/>
    <x v="0"/>
    <x v="3"/>
    <n v="2.1588024362440899"/>
    <n v="1.9395950799061099"/>
    <n v="2.4027839661044199"/>
  </r>
  <r>
    <x v="58"/>
    <x v="0"/>
    <x v="3"/>
    <n v="2.1065277969912799"/>
    <n v="1.8805417277363901"/>
    <n v="2.35967077680233"/>
  </r>
  <r>
    <x v="59"/>
    <x v="0"/>
    <x v="3"/>
    <n v="2.0416995483579599"/>
    <n v="1.8138678384532001"/>
    <n v="2.2981481657009"/>
  </r>
  <r>
    <x v="60"/>
    <x v="0"/>
    <x v="3"/>
    <n v="2.0855332674487701"/>
    <n v="1.84739975551569"/>
    <n v="2.3543626638737001"/>
  </r>
  <r>
    <x v="61"/>
    <x v="0"/>
    <x v="3"/>
    <n v="2.0439901200671802"/>
    <n v="1.80225803702737"/>
    <n v="2.3181450852749301"/>
  </r>
  <r>
    <x v="62"/>
    <x v="0"/>
    <x v="3"/>
    <n v="1.9324070704796099"/>
    <n v="1.6948262380921699"/>
    <n v="2.20329199661382"/>
  </r>
  <r>
    <x v="63"/>
    <x v="0"/>
    <x v="3"/>
    <n v="1.9086087615612599"/>
    <n v="1.66739431821436"/>
    <n v="2.1847186144963699"/>
  </r>
  <r>
    <x v="64"/>
    <x v="0"/>
    <x v="3"/>
    <n v="1.87716797945061"/>
    <n v="1.6349018031262601"/>
    <n v="2.1553341101811401"/>
  </r>
  <r>
    <x v="65"/>
    <x v="0"/>
    <x v="3"/>
    <n v="1.8651381004457701"/>
    <n v="1.6179350544014299"/>
    <n v="2.1501111087684999"/>
  </r>
  <r>
    <x v="66"/>
    <x v="0"/>
    <x v="3"/>
    <n v="1.9123483583099199"/>
    <n v="1.65679195995541"/>
    <n v="2.2073237509126198"/>
  </r>
  <r>
    <x v="67"/>
    <x v="0"/>
    <x v="3"/>
    <n v="1.9705143741417801"/>
    <n v="1.7018514333261101"/>
    <n v="2.2815898160455501"/>
  </r>
  <r>
    <x v="68"/>
    <x v="0"/>
    <x v="3"/>
    <n v="2.0316635585017599"/>
    <n v="1.75072929169882"/>
    <n v="2.3576785026191902"/>
  </r>
  <r>
    <x v="69"/>
    <x v="0"/>
    <x v="3"/>
    <n v="1.99979873583808"/>
    <n v="1.7150805877859401"/>
    <n v="2.3317825484936998"/>
  </r>
  <r>
    <x v="70"/>
    <x v="0"/>
    <x v="3"/>
    <n v="1.9570679979529599"/>
    <n v="1.6685728061815699"/>
    <n v="2.2954438274567099"/>
  </r>
  <r>
    <x v="71"/>
    <x v="0"/>
    <x v="3"/>
    <n v="1.90219514001771"/>
    <n v="1.61553428388392"/>
    <n v="2.2397211788090901"/>
  </r>
  <r>
    <x v="72"/>
    <x v="0"/>
    <x v="3"/>
    <n v="1.95355618333628"/>
    <n v="1.6575176153125399"/>
    <n v="2.3024682972867199"/>
  </r>
  <r>
    <x v="73"/>
    <x v="0"/>
    <x v="3"/>
    <n v="1.92501059910825"/>
    <n v="1.62900748567266"/>
    <n v="2.27479974111287"/>
  </r>
  <r>
    <x v="74"/>
    <x v="0"/>
    <x v="3"/>
    <n v="1.8288223095766201"/>
    <n v="1.54250969608838"/>
    <n v="2.1682787787244702"/>
  </r>
  <r>
    <x v="75"/>
    <x v="0"/>
    <x v="3"/>
    <n v="1.81151270271417"/>
    <n v="1.5236088391389599"/>
    <n v="2.1538193976016302"/>
  </r>
  <r>
    <x v="76"/>
    <x v="0"/>
    <x v="3"/>
    <n v="1.78664723699244"/>
    <n v="1.4993755901782899"/>
    <n v="2.12895846135067"/>
  </r>
  <r>
    <x v="77"/>
    <x v="0"/>
    <x v="3"/>
    <n v="1.78032071819086"/>
    <n v="1.4896016172465401"/>
    <n v="2.1277782078931802"/>
  </r>
  <r>
    <x v="78"/>
    <x v="0"/>
    <x v="3"/>
    <n v="1.82538408382935"/>
    <n v="1.52467599222407"/>
    <n v="2.1854000918825101"/>
  </r>
  <r>
    <x v="79"/>
    <x v="0"/>
    <x v="3"/>
    <n v="1.8809049930077799"/>
    <n v="1.56609504319173"/>
    <n v="2.2589967372040798"/>
  </r>
  <r>
    <x v="80"/>
    <x v="0"/>
    <x v="3"/>
    <n v="1.93927341076222"/>
    <n v="1.6107191132230201"/>
    <n v="2.3348461757333201"/>
  </r>
  <r>
    <x v="81"/>
    <x v="0"/>
    <x v="3"/>
    <n v="1.9070644492864901"/>
    <n v="1.5766018080227"/>
    <n v="2.3067935069119301"/>
  </r>
  <r>
    <x v="82"/>
    <x v="0"/>
    <x v="3"/>
    <n v="1.8645035695847401"/>
    <n v="1.5327516553224301"/>
    <n v="2.2680605490932799"/>
  </r>
  <r>
    <x v="83"/>
    <x v="0"/>
    <x v="3"/>
    <n v="1.81052364172796"/>
    <n v="1.4823863362896299"/>
    <n v="2.21129659455752"/>
  </r>
  <r>
    <x v="0"/>
    <x v="1"/>
    <x v="0"/>
    <n v="1.9594747349999599"/>
    <n v="1.9594747349999599"/>
    <n v="1.9594747349999599"/>
  </r>
  <r>
    <x v="1"/>
    <x v="1"/>
    <x v="0"/>
    <n v="1.94170365122537"/>
    <n v="1.9409135821060399"/>
    <n v="1.9424940419505701"/>
  </r>
  <r>
    <x v="2"/>
    <x v="1"/>
    <x v="0"/>
    <n v="2.0251038211311201"/>
    <n v="2.0242798148399701"/>
    <n v="2.02592816284348"/>
  </r>
  <r>
    <x v="3"/>
    <x v="1"/>
    <x v="0"/>
    <n v="2.0597221995665298"/>
    <n v="2.0588841072779598"/>
    <n v="2.06056063301014"/>
  </r>
  <r>
    <x v="4"/>
    <x v="1"/>
    <x v="0"/>
    <n v="2.0573763793437201"/>
    <n v="2.0565392416569499"/>
    <n v="2.0582138577969"/>
  </r>
  <r>
    <x v="5"/>
    <x v="1"/>
    <x v="0"/>
    <n v="2.15865123051459"/>
    <n v="2.1577728846897601"/>
    <n v="2.15952993388002"/>
  </r>
  <r>
    <x v="6"/>
    <x v="1"/>
    <x v="0"/>
    <n v="2.21490280405729"/>
    <n v="2.2140015694534498"/>
    <n v="2.2158044055189601"/>
  </r>
  <r>
    <x v="7"/>
    <x v="1"/>
    <x v="0"/>
    <n v="2.1072149874876098"/>
    <n v="2.1063575706820599"/>
    <n v="2.1080727533144299"/>
  </r>
  <r>
    <x v="8"/>
    <x v="1"/>
    <x v="0"/>
    <n v="2.1103709025860198"/>
    <n v="2.1095122017371399"/>
    <n v="2.1112299529788201"/>
  </r>
  <r>
    <x v="9"/>
    <x v="1"/>
    <x v="0"/>
    <n v="2.04138246285881"/>
    <n v="2.0405518329805998"/>
    <n v="2.0422134308543698"/>
  </r>
  <r>
    <x v="10"/>
    <x v="1"/>
    <x v="0"/>
    <n v="1.9911691094971899"/>
    <n v="1.99035891104355"/>
    <n v="1.9919796377514201"/>
  </r>
  <r>
    <x v="11"/>
    <x v="1"/>
    <x v="0"/>
    <n v="1.9718788234493201"/>
    <n v="1.9710764744159599"/>
    <n v="1.97268149908796"/>
  </r>
  <r>
    <x v="12"/>
    <x v="1"/>
    <x v="0"/>
    <n v="1.92963127640957"/>
    <n v="1.92884611606574"/>
    <n v="1.9304167563625101"/>
  </r>
  <r>
    <x v="13"/>
    <x v="1"/>
    <x v="0"/>
    <n v="1.3140774599057099"/>
    <n v="1.3135427671980699"/>
    <n v="1.3146123702661801"/>
  </r>
  <r>
    <x v="14"/>
    <x v="1"/>
    <x v="0"/>
    <n v="1.29896493775266"/>
    <n v="1.2984363944045401"/>
    <n v="1.29949369625038"/>
  </r>
  <r>
    <x v="15"/>
    <x v="1"/>
    <x v="0"/>
    <n v="1.310715383447"/>
    <n v="1.31018205865798"/>
    <n v="1.3112489253320601"/>
  </r>
  <r>
    <x v="16"/>
    <x v="1"/>
    <x v="0"/>
    <n v="1.3485246577030401"/>
    <n v="1.3479759486026699"/>
    <n v="1.3490735901617501"/>
  </r>
  <r>
    <x v="17"/>
    <x v="1"/>
    <x v="0"/>
    <n v="1.2439630508142101"/>
    <n v="1.24345688774455"/>
    <n v="1.24446941992323"/>
  </r>
  <r>
    <x v="18"/>
    <x v="1"/>
    <x v="0"/>
    <n v="1.15881916590332"/>
    <n v="1.1583476474026699"/>
    <n v="1.15929087634091"/>
  </r>
  <r>
    <x v="19"/>
    <x v="1"/>
    <x v="0"/>
    <n v="1.13303935532839"/>
    <n v="1.1325783262371201"/>
    <n v="1.13350057208688"/>
  </r>
  <r>
    <x v="20"/>
    <x v="1"/>
    <x v="0"/>
    <n v="1.1531835701856701"/>
    <n v="1.1527143444516399"/>
    <n v="1.15365298692347"/>
  </r>
  <r>
    <x v="21"/>
    <x v="1"/>
    <x v="0"/>
    <n v="1.13934821843487"/>
    <n v="1.1388846224054101"/>
    <n v="1.1398120031764001"/>
  </r>
  <r>
    <x v="22"/>
    <x v="1"/>
    <x v="0"/>
    <n v="1.10856696968969"/>
    <n v="1.1081158983100601"/>
    <n v="1.1090182246831499"/>
  </r>
  <r>
    <x v="23"/>
    <x v="1"/>
    <x v="0"/>
    <n v="1.0652299688523199"/>
    <n v="1.0647965310882901"/>
    <n v="1.0656635830522101"/>
  </r>
  <r>
    <x v="24"/>
    <x v="1"/>
    <x v="0"/>
    <n v="1.0014668959003299"/>
    <n v="1.0010594033540099"/>
    <n v="1.0018745543210801"/>
  </r>
  <r>
    <x v="25"/>
    <x v="1"/>
    <x v="0"/>
    <n v="1.0983064510571501"/>
    <n v="1.09785955483924"/>
    <n v="1.0987535291892501"/>
  </r>
  <r>
    <x v="26"/>
    <x v="1"/>
    <x v="0"/>
    <n v="1.0358345215312801"/>
    <n v="1.0354130446318199"/>
    <n v="1.0362561699978099"/>
  </r>
  <r>
    <x v="27"/>
    <x v="1"/>
    <x v="0"/>
    <n v="0.96663067841640904"/>
    <n v="0.96623736047715603"/>
    <n v="0.967024156460215"/>
  </r>
  <r>
    <x v="28"/>
    <x v="1"/>
    <x v="0"/>
    <n v="0.97241683223453002"/>
    <n v="0.97202115992480198"/>
    <n v="0.97281266560718904"/>
  </r>
  <r>
    <x v="29"/>
    <x v="1"/>
    <x v="0"/>
    <n v="0.95913860453712396"/>
    <n v="0.95874833490897304"/>
    <n v="0.95952903302905401"/>
  </r>
  <r>
    <x v="30"/>
    <x v="1"/>
    <x v="0"/>
    <n v="1.01057864022041"/>
    <n v="1.0101674398035001"/>
    <n v="1.01099000802123"/>
  </r>
  <r>
    <x v="31"/>
    <x v="1"/>
    <x v="0"/>
    <n v="0.966394941777863"/>
    <n v="0.966001719761021"/>
    <n v="0.96678832386021196"/>
  </r>
  <r>
    <x v="32"/>
    <x v="1"/>
    <x v="0"/>
    <n v="0.95901388682331501"/>
    <n v="0.95862366795926601"/>
    <n v="0.95940426453047001"/>
  </r>
  <r>
    <x v="33"/>
    <x v="1"/>
    <x v="0"/>
    <n v="0.96486959195362298"/>
    <n v="0.96447699050150004"/>
    <n v="0.96526235321868104"/>
  </r>
  <r>
    <x v="34"/>
    <x v="1"/>
    <x v="0"/>
    <n v="0.91580779403888801"/>
    <n v="0.91543515562434097"/>
    <n v="0.91618058414018899"/>
  </r>
  <r>
    <x v="35"/>
    <x v="1"/>
    <x v="0"/>
    <n v="0.90377002761205205"/>
    <n v="0.90340228739755002"/>
    <n v="0.90413791751940598"/>
  </r>
  <r>
    <x v="36"/>
    <x v="1"/>
    <x v="0"/>
    <n v="0.93155113943964696"/>
    <n v="0.93117209530765399"/>
    <n v="0.93193033786583901"/>
  </r>
  <r>
    <x v="37"/>
    <x v="1"/>
    <x v="0"/>
    <n v="0.94999943228288797"/>
    <n v="0.94961288164588098"/>
    <n v="0.95038614026969304"/>
  </r>
  <r>
    <x v="38"/>
    <x v="1"/>
    <x v="0"/>
    <n v="0.93800001068219097"/>
    <n v="0.93761834251562504"/>
    <n v="0.93838183421110699"/>
  </r>
  <r>
    <x v="39"/>
    <x v="1"/>
    <x v="0"/>
    <n v="1.0170067163154499"/>
    <n v="1.01659290057152"/>
    <n v="1.01742070050781"/>
  </r>
  <r>
    <x v="40"/>
    <x v="1"/>
    <x v="0"/>
    <n v="0.96611889507414705"/>
    <n v="0.96572578540503395"/>
    <n v="0.96651216476302504"/>
  </r>
  <r>
    <x v="41"/>
    <x v="1"/>
    <x v="0"/>
    <n v="0.96424341215679499"/>
    <n v="0.96385106553609901"/>
    <n v="0.96463591848667896"/>
  </r>
  <r>
    <x v="42"/>
    <x v="1"/>
    <x v="0"/>
    <n v="0.97919185599448599"/>
    <n v="0.97879342693209104"/>
    <n v="0.97959044724198896"/>
  </r>
  <r>
    <x v="43"/>
    <x v="1"/>
    <x v="0"/>
    <n v="0.98497858296406604"/>
    <n v="0.98457779936619405"/>
    <n v="0.98537952970546305"/>
  </r>
  <r>
    <x v="44"/>
    <x v="1"/>
    <x v="0"/>
    <n v="0.95534670873966099"/>
    <n v="0.95495798205610105"/>
    <n v="0.95573559365891103"/>
  </r>
  <r>
    <x v="45"/>
    <x v="1"/>
    <x v="0"/>
    <n v="0.98373239368980103"/>
    <n v="0.98333211707159995"/>
    <n v="0.98413283324519196"/>
  </r>
  <r>
    <x v="46"/>
    <x v="1"/>
    <x v="0"/>
    <n v="0.98275457577251801"/>
    <n v="0.98235469698744105"/>
    <n v="0.98315461733285703"/>
  </r>
  <r>
    <x v="47"/>
    <x v="1"/>
    <x v="0"/>
    <n v="0.93801628723429098"/>
    <n v="0.93763461234794498"/>
    <n v="0.93839811748576296"/>
  </r>
  <r>
    <x v="48"/>
    <x v="1"/>
    <x v="0"/>
    <n v="0.932631279554753"/>
    <n v="0.93225179556513105"/>
    <n v="0.93301091801776803"/>
  </r>
  <r>
    <x v="49"/>
    <x v="1"/>
    <x v="0"/>
    <n v="0.96093338425340502"/>
    <n v="0.96054238460493102"/>
    <n v="0.96132454306271098"/>
  </r>
  <r>
    <x v="50"/>
    <x v="1"/>
    <x v="0"/>
    <n v="0.93828197374893096"/>
    <n v="0.93790018942741604"/>
    <n v="0.93866391348066003"/>
  </r>
  <r>
    <x v="51"/>
    <x v="1"/>
    <x v="0"/>
    <n v="0.95971659964487699"/>
    <n v="0.82565502203762997"/>
    <n v="1.11554575100973"/>
  </r>
  <r>
    <x v="52"/>
    <x v="1"/>
    <x v="0"/>
    <n v="0.950524225598676"/>
    <n v="0.76868517944218595"/>
    <n v="1.1753788515938399"/>
  </r>
  <r>
    <x v="53"/>
    <x v="1"/>
    <x v="0"/>
    <n v="0.95398339794155196"/>
    <n v="0.73446428274387798"/>
    <n v="1.23911311268689"/>
  </r>
  <r>
    <x v="54"/>
    <x v="1"/>
    <x v="0"/>
    <n v="0.96393487960429802"/>
    <n v="0.71297346573769205"/>
    <n v="1.3032328645728299"/>
  </r>
  <r>
    <x v="55"/>
    <x v="1"/>
    <x v="0"/>
    <n v="0.94093792808773502"/>
    <n v="0.67124603292177698"/>
    <n v="1.31898609614161"/>
  </r>
  <r>
    <x v="56"/>
    <x v="1"/>
    <x v="0"/>
    <n v="0.91830172456110304"/>
    <n v="0.63477290778583295"/>
    <n v="1.32847203620166"/>
  </r>
  <r>
    <x v="57"/>
    <x v="1"/>
    <x v="0"/>
    <n v="0.91055543487853297"/>
    <n v="0.61175469266965499"/>
    <n v="1.3553001062707799"/>
  </r>
  <r>
    <x v="58"/>
    <x v="1"/>
    <x v="0"/>
    <n v="0.85184413944450699"/>
    <n v="0.55650481473272895"/>
    <n v="1.3039212216959"/>
  </r>
  <r>
    <x v="59"/>
    <x v="1"/>
    <x v="0"/>
    <n v="0.82303034103086703"/>
    <n v="0.52406341180806604"/>
    <n v="1.29255148708124"/>
  </r>
  <r>
    <x v="60"/>
    <x v="1"/>
    <x v="0"/>
    <n v="0.805108523482155"/>
    <n v="0.50010580051034703"/>
    <n v="1.29612520775032"/>
  </r>
  <r>
    <x v="61"/>
    <x v="1"/>
    <x v="0"/>
    <n v="0.74743815708629802"/>
    <n v="0.45297105749233002"/>
    <n v="1.2333322172090899"/>
  </r>
  <r>
    <x v="62"/>
    <x v="1"/>
    <x v="0"/>
    <n v="0.73591601655907102"/>
    <n v="0.43605112861116702"/>
    <n v="1.2419928487585601"/>
  </r>
  <r>
    <x v="63"/>
    <x v="1"/>
    <x v="0"/>
    <n v="0.74385050801892405"/>
    <n v="0.428210420221037"/>
    <n v="1.29215346509877"/>
  </r>
  <r>
    <x v="64"/>
    <x v="1"/>
    <x v="0"/>
    <n v="0.73312414547836302"/>
    <n v="0.40990947882525902"/>
    <n v="1.3111943988797099"/>
  </r>
  <r>
    <x v="65"/>
    <x v="1"/>
    <x v="0"/>
    <n v="0.73207551506526103"/>
    <n v="0.39917381362208398"/>
    <n v="1.3426095136227101"/>
  </r>
  <r>
    <x v="66"/>
    <x v="1"/>
    <x v="0"/>
    <n v="0.73559452049570495"/>
    <n v="0.390729213693148"/>
    <n v="1.38484474572267"/>
  </r>
  <r>
    <x v="67"/>
    <x v="1"/>
    <x v="0"/>
    <n v="0.71391528585682595"/>
    <n v="0.37001519210797101"/>
    <n v="1.37744353813265"/>
  </r>
  <r>
    <x v="68"/>
    <x v="1"/>
    <x v="0"/>
    <n v="0.69273323169910594"/>
    <n v="0.34979963710223599"/>
    <n v="1.37186914850924"/>
  </r>
  <r>
    <x v="69"/>
    <x v="1"/>
    <x v="0"/>
    <n v="0.68244199593189903"/>
    <n v="0.33615519302501501"/>
    <n v="1.38545257510526"/>
  </r>
  <r>
    <x v="70"/>
    <x v="1"/>
    <x v="0"/>
    <n v="0.63416779380702104"/>
    <n v="0.30352781914213001"/>
    <n v="1.32498165024454"/>
  </r>
  <r>
    <x v="71"/>
    <x v="1"/>
    <x v="0"/>
    <n v="0.60874950344277701"/>
    <n v="0.28403970726600403"/>
    <n v="1.3046625118324799"/>
  </r>
  <r>
    <x v="72"/>
    <x v="1"/>
    <x v="0"/>
    <n v="0.59106901192135197"/>
    <n v="0.26935046903198401"/>
    <n v="1.2970557582812301"/>
  </r>
  <r>
    <x v="73"/>
    <x v="1"/>
    <x v="0"/>
    <n v="0.54465315566926198"/>
    <n v="0.24140462437045901"/>
    <n v="1.22883752021772"/>
  </r>
  <r>
    <x v="74"/>
    <x v="1"/>
    <x v="0"/>
    <n v="0.53265677965468805"/>
    <n v="0.230511343527839"/>
    <n v="1.2308428755387399"/>
  </r>
  <r>
    <x v="75"/>
    <x v="1"/>
    <x v="0"/>
    <n v="0.53346784443184003"/>
    <n v="0.22475522297836201"/>
    <n v="1.2662128037405"/>
  </r>
  <r>
    <x v="76"/>
    <x v="1"/>
    <x v="0"/>
    <n v="0.52111360070208901"/>
    <n v="0.213038142692587"/>
    <n v="1.2746984244439099"/>
  </r>
  <r>
    <x v="77"/>
    <x v="1"/>
    <x v="0"/>
    <n v="0.51560146823849395"/>
    <n v="0.20596484122636"/>
    <n v="1.2907293908358"/>
  </r>
  <r>
    <x v="78"/>
    <x v="1"/>
    <x v="0"/>
    <n v="0.51456683015961202"/>
    <n v="0.20014837842695599"/>
    <n v="1.32291365426746"/>
  </r>
  <r>
    <x v="79"/>
    <x v="1"/>
    <x v="0"/>
    <n v="0.49590275661537703"/>
    <n v="0.188301186174687"/>
    <n v="1.30599041362698"/>
  </r>
  <r>
    <x v="80"/>
    <x v="1"/>
    <x v="0"/>
    <n v="0.47781788669999198"/>
    <n v="0.17622534980527199"/>
    <n v="1.2955567011370801"/>
  </r>
  <r>
    <x v="81"/>
    <x v="1"/>
    <x v="0"/>
    <n v="0.46712735386990401"/>
    <n v="0.16744408864705901"/>
    <n v="1.30316911451822"/>
  </r>
  <r>
    <x v="82"/>
    <x v="1"/>
    <x v="0"/>
    <n v="0.43066146843222902"/>
    <n v="0.14893370245200499"/>
    <n v="1.24531450799038"/>
  </r>
  <r>
    <x v="83"/>
    <x v="1"/>
    <x v="0"/>
    <n v="0.41024531294397498"/>
    <n v="0.13745521626325599"/>
    <n v="1.2244076388499301"/>
  </r>
  <r>
    <x v="0"/>
    <x v="1"/>
    <x v="1"/>
    <n v="1.9594747349999599"/>
    <n v="1.9594747349999599"/>
    <n v="1.9594747349999599"/>
  </r>
  <r>
    <x v="1"/>
    <x v="1"/>
    <x v="1"/>
    <n v="1.94170365122537"/>
    <n v="1.9409135821060399"/>
    <n v="1.9424940419505701"/>
  </r>
  <r>
    <x v="2"/>
    <x v="1"/>
    <x v="1"/>
    <n v="2.0251038211311201"/>
    <n v="2.0242798148399701"/>
    <n v="2.02592816284348"/>
  </r>
  <r>
    <x v="3"/>
    <x v="1"/>
    <x v="1"/>
    <n v="2.0597221995665298"/>
    <n v="2.0588841072779598"/>
    <n v="2.06056063301014"/>
  </r>
  <r>
    <x v="4"/>
    <x v="1"/>
    <x v="1"/>
    <n v="2.0573763793437201"/>
    <n v="2.0565392416569499"/>
    <n v="2.0582138577969"/>
  </r>
  <r>
    <x v="5"/>
    <x v="1"/>
    <x v="1"/>
    <n v="2.15865123051459"/>
    <n v="2.1577728846897601"/>
    <n v="2.15952993388002"/>
  </r>
  <r>
    <x v="6"/>
    <x v="1"/>
    <x v="1"/>
    <n v="2.21490280405729"/>
    <n v="2.2140015694534498"/>
    <n v="2.2158044055189601"/>
  </r>
  <r>
    <x v="7"/>
    <x v="1"/>
    <x v="1"/>
    <n v="2.1072149874876098"/>
    <n v="2.1063575706820599"/>
    <n v="2.1080727533144299"/>
  </r>
  <r>
    <x v="8"/>
    <x v="1"/>
    <x v="1"/>
    <n v="2.1103709025860198"/>
    <n v="2.1095122017371399"/>
    <n v="2.1112299529788201"/>
  </r>
  <r>
    <x v="9"/>
    <x v="1"/>
    <x v="1"/>
    <n v="2.04138246285881"/>
    <n v="2.0405518329805998"/>
    <n v="2.0422134308543698"/>
  </r>
  <r>
    <x v="10"/>
    <x v="1"/>
    <x v="1"/>
    <n v="1.9911691094971899"/>
    <n v="1.99035891104355"/>
    <n v="1.9919796377514201"/>
  </r>
  <r>
    <x v="11"/>
    <x v="1"/>
    <x v="1"/>
    <n v="1.9718788234493201"/>
    <n v="1.9710764744159599"/>
    <n v="1.97268149908796"/>
  </r>
  <r>
    <x v="12"/>
    <x v="1"/>
    <x v="1"/>
    <n v="1.92963127640957"/>
    <n v="1.92884611606574"/>
    <n v="1.9304167563625101"/>
  </r>
  <r>
    <x v="13"/>
    <x v="1"/>
    <x v="1"/>
    <n v="1.3140774599057099"/>
    <n v="1.3135427671980699"/>
    <n v="1.3146123702661801"/>
  </r>
  <r>
    <x v="14"/>
    <x v="1"/>
    <x v="1"/>
    <n v="1.29896493775266"/>
    <n v="1.2984363944045401"/>
    <n v="1.29949369625038"/>
  </r>
  <r>
    <x v="15"/>
    <x v="1"/>
    <x v="1"/>
    <n v="1.310715383447"/>
    <n v="1.31018205865798"/>
    <n v="1.3112489253320601"/>
  </r>
  <r>
    <x v="16"/>
    <x v="1"/>
    <x v="1"/>
    <n v="1.3485246577030401"/>
    <n v="1.3479759486026699"/>
    <n v="1.3490735901617501"/>
  </r>
  <r>
    <x v="17"/>
    <x v="1"/>
    <x v="1"/>
    <n v="1.2439630508142101"/>
    <n v="1.24345688774455"/>
    <n v="1.24446941992323"/>
  </r>
  <r>
    <x v="18"/>
    <x v="1"/>
    <x v="1"/>
    <n v="1.15881916590332"/>
    <n v="1.1583476474026699"/>
    <n v="1.15929087634091"/>
  </r>
  <r>
    <x v="19"/>
    <x v="1"/>
    <x v="1"/>
    <n v="1.13303935532839"/>
    <n v="1.1325783262371201"/>
    <n v="1.13350057208688"/>
  </r>
  <r>
    <x v="20"/>
    <x v="1"/>
    <x v="1"/>
    <n v="1.1531835701856701"/>
    <n v="1.1527143444516399"/>
    <n v="1.15365298692347"/>
  </r>
  <r>
    <x v="21"/>
    <x v="1"/>
    <x v="1"/>
    <n v="1.13934821843487"/>
    <n v="1.1388846224054101"/>
    <n v="1.1398120031764001"/>
  </r>
  <r>
    <x v="22"/>
    <x v="1"/>
    <x v="1"/>
    <n v="1.10856696968969"/>
    <n v="1.1081158983100601"/>
    <n v="1.1090182246831499"/>
  </r>
  <r>
    <x v="23"/>
    <x v="1"/>
    <x v="1"/>
    <n v="1.0652299688523199"/>
    <n v="1.0647965310882901"/>
    <n v="1.0656635830522101"/>
  </r>
  <r>
    <x v="24"/>
    <x v="1"/>
    <x v="1"/>
    <n v="1.0014668959003299"/>
    <n v="1.0010594033540099"/>
    <n v="1.0018745543210801"/>
  </r>
  <r>
    <x v="25"/>
    <x v="1"/>
    <x v="1"/>
    <n v="1.0983064510571501"/>
    <n v="1.09785955483924"/>
    <n v="1.0987535291892501"/>
  </r>
  <r>
    <x v="26"/>
    <x v="1"/>
    <x v="1"/>
    <n v="1.0358345215312801"/>
    <n v="1.0354130446318199"/>
    <n v="1.0362561699978099"/>
  </r>
  <r>
    <x v="27"/>
    <x v="1"/>
    <x v="1"/>
    <n v="0.96663067841640904"/>
    <n v="0.96623736047715603"/>
    <n v="0.967024156460215"/>
  </r>
  <r>
    <x v="28"/>
    <x v="1"/>
    <x v="1"/>
    <n v="0.97241683223453002"/>
    <n v="0.97202115992480198"/>
    <n v="0.97281266560718904"/>
  </r>
  <r>
    <x v="29"/>
    <x v="1"/>
    <x v="1"/>
    <n v="0.95913860453712396"/>
    <n v="0.95874833490897304"/>
    <n v="0.95952903302905401"/>
  </r>
  <r>
    <x v="30"/>
    <x v="1"/>
    <x v="1"/>
    <n v="1.01057864022041"/>
    <n v="1.0101674398035001"/>
    <n v="1.01099000802123"/>
  </r>
  <r>
    <x v="31"/>
    <x v="1"/>
    <x v="1"/>
    <n v="0.966394941777863"/>
    <n v="0.966001719761021"/>
    <n v="0.96678832386021196"/>
  </r>
  <r>
    <x v="32"/>
    <x v="1"/>
    <x v="1"/>
    <n v="0.95901388682331501"/>
    <n v="0.95862366795926601"/>
    <n v="0.95940426453047001"/>
  </r>
  <r>
    <x v="33"/>
    <x v="1"/>
    <x v="1"/>
    <n v="0.96486959195362298"/>
    <n v="0.96447699050150004"/>
    <n v="0.96526235321868104"/>
  </r>
  <r>
    <x v="34"/>
    <x v="1"/>
    <x v="1"/>
    <n v="0.91580779403888801"/>
    <n v="0.91543515562434097"/>
    <n v="0.91618058414018899"/>
  </r>
  <r>
    <x v="35"/>
    <x v="1"/>
    <x v="1"/>
    <n v="0.90377002761205205"/>
    <n v="0.90340228739755002"/>
    <n v="0.90413791751940598"/>
  </r>
  <r>
    <x v="36"/>
    <x v="1"/>
    <x v="1"/>
    <n v="0.93155113943964696"/>
    <n v="0.93117209530765399"/>
    <n v="0.93193033786583901"/>
  </r>
  <r>
    <x v="37"/>
    <x v="1"/>
    <x v="1"/>
    <n v="0.94999943228288797"/>
    <n v="0.94961288164588098"/>
    <n v="0.95038614026969304"/>
  </r>
  <r>
    <x v="38"/>
    <x v="1"/>
    <x v="1"/>
    <n v="0.93800001068219097"/>
    <n v="0.93761834251562504"/>
    <n v="0.93838183421110699"/>
  </r>
  <r>
    <x v="39"/>
    <x v="1"/>
    <x v="1"/>
    <n v="1.0170067163154499"/>
    <n v="1.01659290057152"/>
    <n v="1.01742070050781"/>
  </r>
  <r>
    <x v="40"/>
    <x v="1"/>
    <x v="1"/>
    <n v="0.96611889507414705"/>
    <n v="0.96572578540503395"/>
    <n v="0.96651216476302504"/>
  </r>
  <r>
    <x v="41"/>
    <x v="1"/>
    <x v="1"/>
    <n v="0.96424341215679499"/>
    <n v="0.96385106553609901"/>
    <n v="0.96463591848667896"/>
  </r>
  <r>
    <x v="42"/>
    <x v="1"/>
    <x v="1"/>
    <n v="0.97919185599448599"/>
    <n v="0.97879342693209104"/>
    <n v="0.97959044724198896"/>
  </r>
  <r>
    <x v="43"/>
    <x v="1"/>
    <x v="1"/>
    <n v="0.98497858296406604"/>
    <n v="0.98457779936619405"/>
    <n v="0.98537952970546305"/>
  </r>
  <r>
    <x v="44"/>
    <x v="1"/>
    <x v="1"/>
    <n v="0.95534670873966099"/>
    <n v="0.95495798205610105"/>
    <n v="0.95573559365891103"/>
  </r>
  <r>
    <x v="45"/>
    <x v="1"/>
    <x v="1"/>
    <n v="0.98373239368980103"/>
    <n v="0.98333211707159995"/>
    <n v="0.98413283324519196"/>
  </r>
  <r>
    <x v="46"/>
    <x v="1"/>
    <x v="1"/>
    <n v="0.98275457577251801"/>
    <n v="0.98235469698744105"/>
    <n v="0.98315461733285703"/>
  </r>
  <r>
    <x v="47"/>
    <x v="1"/>
    <x v="1"/>
    <n v="0.93801628723429098"/>
    <n v="0.93763461234794498"/>
    <n v="0.93839811748576296"/>
  </r>
  <r>
    <x v="48"/>
    <x v="1"/>
    <x v="1"/>
    <n v="0.932631279554753"/>
    <n v="0.93225179556513105"/>
    <n v="0.93301091801776803"/>
  </r>
  <r>
    <x v="49"/>
    <x v="1"/>
    <x v="1"/>
    <n v="0.96093338425340502"/>
    <n v="0.96054238460493102"/>
    <n v="0.96132454306271098"/>
  </r>
  <r>
    <x v="50"/>
    <x v="1"/>
    <x v="1"/>
    <n v="0.93828197374893096"/>
    <n v="0.93790018942741604"/>
    <n v="0.93866391348066003"/>
  </r>
  <r>
    <x v="51"/>
    <x v="1"/>
    <x v="1"/>
    <n v="0.98032630678643995"/>
    <n v="0.83900301566896995"/>
    <n v="1.14545436646764"/>
  </r>
  <r>
    <x v="52"/>
    <x v="1"/>
    <x v="1"/>
    <n v="0.991107641524963"/>
    <n v="0.79256368945272904"/>
    <n v="1.23938854398876"/>
  </r>
  <r>
    <x v="53"/>
    <x v="1"/>
    <x v="1"/>
    <n v="1.0160757857242799"/>
    <n v="0.76273584831310803"/>
    <n v="1.35356166177127"/>
  </r>
  <r>
    <x v="54"/>
    <x v="1"/>
    <x v="1"/>
    <n v="1.03791408192104"/>
    <n v="0.74936919802523305"/>
    <n v="1.4375632789402799"/>
  </r>
  <r>
    <x v="55"/>
    <x v="1"/>
    <x v="1"/>
    <n v="1.02461502915611"/>
    <n v="0.71198748640167697"/>
    <n v="1.4745146200228401"/>
  </r>
  <r>
    <x v="56"/>
    <x v="1"/>
    <x v="1"/>
    <n v="1.0112794569905199"/>
    <n v="0.68245552353170502"/>
    <n v="1.4985388862246101"/>
  </r>
  <r>
    <x v="57"/>
    <x v="1"/>
    <x v="1"/>
    <n v="1.0137160602837101"/>
    <n v="0.66663888292713702"/>
    <n v="1.54149461904316"/>
  </r>
  <r>
    <x v="58"/>
    <x v="1"/>
    <x v="1"/>
    <n v="0.95907307461329305"/>
    <n v="0.61824757508165296"/>
    <n v="1.48778773993042"/>
  </r>
  <r>
    <x v="59"/>
    <x v="1"/>
    <x v="1"/>
    <n v="0.93676694018715301"/>
    <n v="0.59099206576072905"/>
    <n v="1.4848461613406501"/>
  </r>
  <r>
    <x v="60"/>
    <x v="1"/>
    <x v="1"/>
    <n v="0.94616663521184996"/>
    <n v="0.57835192172974503"/>
    <n v="1.54790062581731"/>
  </r>
  <r>
    <x v="61"/>
    <x v="1"/>
    <x v="1"/>
    <n v="0.90695547197603299"/>
    <n v="0.54158417005035997"/>
    <n v="1.51881881641921"/>
  </r>
  <r>
    <x v="62"/>
    <x v="1"/>
    <x v="1"/>
    <n v="0.91916087909876898"/>
    <n v="0.53503366692592402"/>
    <n v="1.57907207320207"/>
  </r>
  <r>
    <x v="63"/>
    <x v="1"/>
    <x v="1"/>
    <n v="0.95453167167548603"/>
    <n v="0.53703865184556598"/>
    <n v="1.6965831213460001"/>
  </r>
  <r>
    <x v="64"/>
    <x v="1"/>
    <x v="1"/>
    <n v="0.965705821940255"/>
    <n v="0.52789188338945303"/>
    <n v="1.76662639429386"/>
  </r>
  <r>
    <x v="65"/>
    <x v="1"/>
    <x v="1"/>
    <n v="0.99075120786919801"/>
    <n v="0.52305868750286"/>
    <n v="1.8766306331331299"/>
  </r>
  <r>
    <x v="66"/>
    <x v="1"/>
    <x v="1"/>
    <n v="1.01785364633288"/>
    <n v="0.52246281459950294"/>
    <n v="1.98296609137114"/>
  </r>
  <r>
    <x v="67"/>
    <x v="1"/>
    <x v="1"/>
    <n v="1.0107713549798401"/>
    <n v="0.50417074898427905"/>
    <n v="2.02641413470743"/>
  </r>
  <r>
    <x v="68"/>
    <x v="1"/>
    <x v="1"/>
    <n v="1.0035330042211601"/>
    <n v="0.49006912976674399"/>
    <n v="2.05497230776498"/>
  </r>
  <r>
    <x v="69"/>
    <x v="1"/>
    <x v="1"/>
    <n v="1.0184001127773901"/>
    <n v="0.48495193351814297"/>
    <n v="2.13864244685232"/>
  </r>
  <r>
    <x v="70"/>
    <x v="1"/>
    <x v="1"/>
    <n v="0.97582850794911302"/>
    <n v="0.45725610926725802"/>
    <n v="2.0825118738208599"/>
  </r>
  <r>
    <x v="71"/>
    <x v="1"/>
    <x v="1"/>
    <n v="0.96492819128975305"/>
    <n v="0.44154365012570401"/>
    <n v="2.10870751754813"/>
  </r>
  <r>
    <x v="72"/>
    <x v="1"/>
    <x v="1"/>
    <n v="0.948210279742285"/>
    <n v="0.42567662310568"/>
    <n v="2.11217315165021"/>
  </r>
  <r>
    <x v="73"/>
    <x v="1"/>
    <x v="1"/>
    <n v="0.88429381161491705"/>
    <n v="0.39153884716828502"/>
    <n v="1.99718508371748"/>
  </r>
  <r>
    <x v="74"/>
    <x v="1"/>
    <x v="1"/>
    <n v="0.87423846609178901"/>
    <n v="0.37949703989079397"/>
    <n v="2.0139627329226601"/>
  </r>
  <r>
    <x v="75"/>
    <x v="1"/>
    <x v="1"/>
    <n v="0.88629121903663899"/>
    <n v="0.37519701106195502"/>
    <n v="2.0935991006915202"/>
  </r>
  <r>
    <x v="76"/>
    <x v="1"/>
    <x v="1"/>
    <n v="0.87602368301634104"/>
    <n v="0.36252027011576599"/>
    <n v="2.1168954027327902"/>
  </r>
  <r>
    <x v="77"/>
    <x v="1"/>
    <x v="1"/>
    <n v="0.87737111450362903"/>
    <n v="0.353912188577234"/>
    <n v="2.17505951309544"/>
  </r>
  <r>
    <x v="78"/>
    <x v="1"/>
    <x v="1"/>
    <n v="0.88206115671964203"/>
    <n v="0.34759869033467"/>
    <n v="2.2383049931646699"/>
  </r>
  <r>
    <x v="79"/>
    <x v="1"/>
    <x v="1"/>
    <n v="0.85653953489213797"/>
    <n v="0.33037228791031298"/>
    <n v="2.2207067653095902"/>
  </r>
  <r>
    <x v="80"/>
    <x v="1"/>
    <x v="1"/>
    <n v="0.831586202073197"/>
    <n v="0.315384850502957"/>
    <n v="2.1926722554228699"/>
  </r>
  <r>
    <x v="81"/>
    <x v="1"/>
    <x v="1"/>
    <n v="0.82121575748171804"/>
    <n v="0.30515347306963397"/>
    <n v="2.21002013692428"/>
  </r>
  <r>
    <x v="82"/>
    <x v="1"/>
    <x v="1"/>
    <n v="0.765034460329303"/>
    <n v="0.28017374802403899"/>
    <n v="2.0889813182680101"/>
  </r>
  <r>
    <x v="83"/>
    <x v="1"/>
    <x v="1"/>
    <n v="0.73614897578707905"/>
    <n v="0.26372246607844702"/>
    <n v="2.0548697371545401"/>
  </r>
  <r>
    <x v="6"/>
    <x v="2"/>
    <x v="0"/>
    <n v="9.6700353324201007"/>
    <n v="9.4112283872492597"/>
    <n v="9.9359594181078492"/>
  </r>
  <r>
    <x v="7"/>
    <x v="2"/>
    <x v="0"/>
    <n v="9.6055742587913695"/>
    <n v="9.3742963878354697"/>
    <n v="9.8425580997081994"/>
  </r>
  <r>
    <x v="8"/>
    <x v="2"/>
    <x v="0"/>
    <n v="9.2100972616207404"/>
    <n v="8.9883740829678391"/>
    <n v="9.4372898574894997"/>
  </r>
  <r>
    <x v="9"/>
    <x v="2"/>
    <x v="0"/>
    <n v="9.2006459424341092"/>
    <n v="8.9803595849070899"/>
    <n v="9.4263358786100309"/>
  </r>
  <r>
    <x v="10"/>
    <x v="2"/>
    <x v="0"/>
    <n v="8.9063161283440504"/>
    <n v="8.6912454716308396"/>
    <n v="9.1267088516735999"/>
  </r>
  <r>
    <x v="11"/>
    <x v="2"/>
    <x v="0"/>
    <n v="8.7236828966842701"/>
    <n v="8.5142290089846"/>
    <n v="8.9382894448334405"/>
  </r>
  <r>
    <x v="12"/>
    <x v="2"/>
    <x v="0"/>
    <n v="8.5383268218830608"/>
    <n v="8.3290666840716998"/>
    <n v="8.7528444281404898"/>
  </r>
  <r>
    <x v="13"/>
    <x v="2"/>
    <x v="0"/>
    <n v="8.4060816745365194"/>
    <n v="8.2040989831993407"/>
    <n v="8.6130371249400408"/>
  </r>
  <r>
    <x v="14"/>
    <x v="2"/>
    <x v="0"/>
    <n v="7.8384423495944002"/>
    <n v="7.64699376278325"/>
    <n v="8.0346840044436494"/>
  </r>
  <r>
    <x v="15"/>
    <x v="2"/>
    <x v="0"/>
    <n v="7.91525609561163"/>
    <n v="7.7202436639008196"/>
    <n v="8.1151945180265503"/>
  </r>
  <r>
    <x v="16"/>
    <x v="2"/>
    <x v="0"/>
    <n v="7.8051724913306497"/>
    <n v="7.6076903320106801"/>
    <n v="8.0077809375455402"/>
  </r>
  <r>
    <x v="17"/>
    <x v="2"/>
    <x v="0"/>
    <n v="7.5127803086410196"/>
    <n v="7.3282645478054498"/>
    <n v="7.7019419260466702"/>
  </r>
  <r>
    <x v="18"/>
    <x v="2"/>
    <x v="0"/>
    <n v="7.3471997759128298"/>
    <n v="7.1660117235818301"/>
    <n v="7.5329690529995101"/>
  </r>
  <r>
    <x v="19"/>
    <x v="2"/>
    <x v="0"/>
    <n v="7.3421423641609103"/>
    <n v="7.1654720340470002"/>
    <n v="7.5231686397581399"/>
  </r>
  <r>
    <x v="20"/>
    <x v="2"/>
    <x v="0"/>
    <n v="7.4154240750303497"/>
    <n v="7.2324107040709196"/>
    <n v="7.6030685289468201"/>
  </r>
  <r>
    <x v="21"/>
    <x v="2"/>
    <x v="0"/>
    <n v="7.3961666125130199"/>
    <n v="7.2135349135525502"/>
    <n v="7.5834221661944996"/>
  </r>
  <r>
    <x v="22"/>
    <x v="2"/>
    <x v="0"/>
    <n v="7.34130843720631"/>
    <n v="7.1568299838938998"/>
    <n v="7.5305421103315604"/>
  </r>
  <r>
    <x v="23"/>
    <x v="2"/>
    <x v="0"/>
    <n v="6.9958397155189997"/>
    <n v="6.8287349803753701"/>
    <n v="7.1670336403277304"/>
  </r>
  <r>
    <x v="24"/>
    <x v="2"/>
    <x v="0"/>
    <n v="6.9489874118610997"/>
    <n v="6.7818597407345704"/>
    <n v="7.1202336669047304"/>
  </r>
  <r>
    <x v="25"/>
    <x v="2"/>
    <x v="0"/>
    <n v="7.0254907299904801"/>
    <n v="6.8496490204855398"/>
    <n v="7.2058465841923498"/>
  </r>
  <r>
    <x v="26"/>
    <x v="2"/>
    <x v="0"/>
    <n v="7.1852686334854399"/>
    <n v="7.0080530703789901"/>
    <n v="7.3669655205047899"/>
  </r>
  <r>
    <x v="27"/>
    <x v="2"/>
    <x v="0"/>
    <n v="7.9168229549366798"/>
    <n v="7.7197107836453602"/>
    <n v="8.1189681137530592"/>
  </r>
  <r>
    <x v="28"/>
    <x v="2"/>
    <x v="0"/>
    <n v="7.8867360529248902"/>
    <n v="7.6918181266841597"/>
    <n v="8.0865933832628407"/>
  </r>
  <r>
    <x v="29"/>
    <x v="2"/>
    <x v="0"/>
    <n v="7.83231324015195"/>
    <n v="7.6396140734095503"/>
    <n v="8.0298729886601894"/>
  </r>
  <r>
    <x v="30"/>
    <x v="2"/>
    <x v="0"/>
    <n v="8.0046476021362594"/>
    <n v="7.8101735580740703"/>
    <n v="8.2039640678850905"/>
  </r>
  <r>
    <x v="31"/>
    <x v="2"/>
    <x v="0"/>
    <n v="8.1600116696239304"/>
    <n v="7.9646472763971197"/>
    <n v="8.3601681452639696"/>
  </r>
  <r>
    <x v="32"/>
    <x v="2"/>
    <x v="0"/>
    <n v="8.2348154320775198"/>
    <n v="8.0344210097727409"/>
    <n v="8.4402080894065801"/>
  </r>
  <r>
    <x v="33"/>
    <x v="2"/>
    <x v="0"/>
    <n v="8.5259392135029994"/>
    <n v="8.3172172921535594"/>
    <n v="8.7398990454325691"/>
  </r>
  <r>
    <x v="34"/>
    <x v="2"/>
    <x v="0"/>
    <n v="8.3671852063241694"/>
    <n v="8.1596170837630808"/>
    <n v="8.58003354302536"/>
  </r>
  <r>
    <x v="35"/>
    <x v="2"/>
    <x v="0"/>
    <n v="8.2532054208535008"/>
    <n v="8.0560028771063994"/>
    <n v="8.4552352770846593"/>
  </r>
  <r>
    <x v="36"/>
    <x v="2"/>
    <x v="0"/>
    <n v="8.2161169497650803"/>
    <n v="8.01428485677007"/>
    <n v="8.4230319908322802"/>
  </r>
  <r>
    <x v="37"/>
    <x v="2"/>
    <x v="0"/>
    <n v="8.3687067976482297"/>
    <n v="8.1638410887450199"/>
    <n v="8.5787134638812397"/>
  </r>
  <r>
    <x v="38"/>
    <x v="2"/>
    <x v="0"/>
    <n v="8.2889079349128902"/>
    <n v="8.0845152278366399"/>
    <n v="8.4984680982346408"/>
  </r>
  <r>
    <x v="39"/>
    <x v="2"/>
    <x v="0"/>
    <n v="8.5536849327226694"/>
    <n v="8.3415489818121404"/>
    <n v="8.77121576434023"/>
  </r>
  <r>
    <x v="40"/>
    <x v="2"/>
    <x v="0"/>
    <n v="8.6305976523524492"/>
    <n v="8.4166263714226304"/>
    <n v="8.8500086079265294"/>
  </r>
  <r>
    <x v="41"/>
    <x v="2"/>
    <x v="0"/>
    <n v="8.82050131967463"/>
    <n v="8.6027716332385609"/>
    <n v="9.0437415808855004"/>
  </r>
  <r>
    <x v="42"/>
    <x v="2"/>
    <x v="0"/>
    <n v="8.9107633552584993"/>
    <n v="8.6940889812045601"/>
    <n v="9.1328376952517196"/>
  </r>
  <r>
    <x v="43"/>
    <x v="2"/>
    <x v="0"/>
    <n v="8.9480793949868591"/>
    <n v="8.7343779240069797"/>
    <n v="9.1670094373768904"/>
  </r>
  <r>
    <x v="44"/>
    <x v="2"/>
    <x v="0"/>
    <n v="8.9551250661870707"/>
    <n v="8.7408312136783604"/>
    <n v="9.1746726358881592"/>
  </r>
  <r>
    <x v="45"/>
    <x v="2"/>
    <x v="0"/>
    <n v="9.0046991069869495"/>
    <n v="8.7897266048438194"/>
    <n v="9.2249292444076296"/>
  </r>
  <r>
    <x v="46"/>
    <x v="2"/>
    <x v="0"/>
    <n v="8.76890312466473"/>
    <n v="8.5553562730761694"/>
    <n v="8.9877802344410096"/>
  </r>
  <r>
    <x v="47"/>
    <x v="2"/>
    <x v="0"/>
    <n v="8.6555966907219304"/>
    <n v="8.4473734237242599"/>
    <n v="8.8689525506267994"/>
  </r>
  <r>
    <x v="48"/>
    <x v="2"/>
    <x v="0"/>
    <n v="8.5579686155119106"/>
    <n v="8.3533371842304796"/>
    <n v="8.7676128963580897"/>
  </r>
  <r>
    <x v="49"/>
    <x v="2"/>
    <x v="0"/>
    <n v="8.6584997644427109"/>
    <n v="8.4451204755508904"/>
    <n v="8.8772704176211406"/>
  </r>
  <r>
    <x v="50"/>
    <x v="2"/>
    <x v="0"/>
    <n v="8.5403446924450996"/>
    <n v="8.3093154100514308"/>
    <n v="8.7777974317289509"/>
  </r>
  <r>
    <x v="51"/>
    <x v="2"/>
    <x v="0"/>
    <n v="9.1938498324878797"/>
    <n v="8.9723754027505898"/>
    <n v="9.4207911448315809"/>
  </r>
  <r>
    <x v="52"/>
    <x v="2"/>
    <x v="0"/>
    <n v="9.3751150117952609"/>
    <n v="9.0655564107782993"/>
    <n v="9.6952440095006693"/>
  </r>
  <r>
    <x v="53"/>
    <x v="2"/>
    <x v="0"/>
    <n v="9.3291097200581401"/>
    <n v="8.9467539327200107"/>
    <n v="9.7278061767843305"/>
  </r>
  <r>
    <x v="54"/>
    <x v="2"/>
    <x v="0"/>
    <n v="9.5443676111214408"/>
    <n v="9.0646618770698293"/>
    <n v="10.0494595751729"/>
  </r>
  <r>
    <x v="55"/>
    <x v="2"/>
    <x v="0"/>
    <n v="9.7063585720159704"/>
    <n v="9.1334069887023599"/>
    <n v="10.315252221332701"/>
  </r>
  <r>
    <x v="56"/>
    <x v="2"/>
    <x v="0"/>
    <n v="9.7706840429178996"/>
    <n v="9.1066152750129206"/>
    <n v="10.483177754140399"/>
  </r>
  <r>
    <x v="57"/>
    <x v="2"/>
    <x v="0"/>
    <n v="9.7833100747174804"/>
    <n v="9.0405356822949994"/>
    <n v="10.5871111382828"/>
  </r>
  <r>
    <x v="58"/>
    <x v="2"/>
    <x v="0"/>
    <n v="9.4407901641118208"/>
    <n v="8.6443652984649901"/>
    <n v="10.310591448352801"/>
  </r>
  <r>
    <x v="59"/>
    <x v="2"/>
    <x v="0"/>
    <n v="9.1740185453240208"/>
    <n v="8.3171452264509398"/>
    <n v="10.119171179347401"/>
  </r>
  <r>
    <x v="60"/>
    <x v="2"/>
    <x v="0"/>
    <n v="9.3120465358997393"/>
    <n v="8.3493720115928998"/>
    <n v="10.385716502553899"/>
  </r>
  <r>
    <x v="61"/>
    <x v="2"/>
    <x v="0"/>
    <n v="9.3877010361021807"/>
    <n v="8.3272042839453704"/>
    <n v="10.583255524683601"/>
  </r>
  <r>
    <x v="62"/>
    <x v="2"/>
    <x v="0"/>
    <n v="9.2668004179261008"/>
    <n v="8.1298676100912104"/>
    <n v="10.5627291985769"/>
  </r>
  <r>
    <x v="63"/>
    <x v="2"/>
    <x v="0"/>
    <n v="9.8653427822170308"/>
    <n v="8.5353451445830402"/>
    <n v="11.4025837926904"/>
  </r>
  <r>
    <x v="64"/>
    <x v="2"/>
    <x v="0"/>
    <n v="10.019257537383499"/>
    <n v="8.5507959056751996"/>
    <n v="11.7399038297464"/>
  </r>
  <r>
    <x v="65"/>
    <x v="2"/>
    <x v="0"/>
    <n v="9.9292669022408493"/>
    <n v="8.3613925335116797"/>
    <n v="11.7911389545216"/>
  </r>
  <r>
    <x v="66"/>
    <x v="2"/>
    <x v="0"/>
    <n v="10.237863278374601"/>
    <n v="8.4965812943566696"/>
    <n v="12.336002078425199"/>
  </r>
  <r>
    <x v="67"/>
    <x v="2"/>
    <x v="0"/>
    <n v="10.496713784870799"/>
    <n v="8.5868732096902995"/>
    <n v="12.831329587719599"/>
  </r>
  <r>
    <x v="68"/>
    <x v="2"/>
    <x v="0"/>
    <n v="10.6515460612162"/>
    <n v="8.5869586895255807"/>
    <n v="13.212528160011299"/>
  </r>
  <r>
    <x v="69"/>
    <x v="2"/>
    <x v="0"/>
    <n v="10.69479387524"/>
    <n v="8.50305823054466"/>
    <n v="13.451468040404601"/>
  </r>
  <r>
    <x v="70"/>
    <x v="2"/>
    <x v="0"/>
    <n v="10.347632736805201"/>
    <n v="8.1126646706242997"/>
    <n v="13.1983149314075"/>
  </r>
  <r>
    <x v="71"/>
    <x v="2"/>
    <x v="0"/>
    <n v="10.0830331521527"/>
    <n v="7.7902747645897801"/>
    <n v="13.050574032322301"/>
  </r>
  <r>
    <x v="72"/>
    <x v="2"/>
    <x v="0"/>
    <n v="10.213712390647901"/>
    <n v="7.7705718335520197"/>
    <n v="13.4249992192901"/>
  </r>
  <r>
    <x v="73"/>
    <x v="2"/>
    <x v="0"/>
    <n v="10.277631577054301"/>
    <n v="7.7031632627848303"/>
    <n v="13.712510981556999"/>
  </r>
  <r>
    <x v="74"/>
    <x v="2"/>
    <x v="0"/>
    <n v="10.1269420828355"/>
    <n v="7.4755477519334503"/>
    <n v="13.718721269967199"/>
  </r>
  <r>
    <x v="75"/>
    <x v="2"/>
    <x v="0"/>
    <n v="10.761683725872899"/>
    <n v="7.8074506449160097"/>
    <n v="14.8337584037283"/>
  </r>
  <r>
    <x v="76"/>
    <x v="2"/>
    <x v="0"/>
    <n v="10.9130632675865"/>
    <n v="7.7810562222871402"/>
    <n v="15.3057562469763"/>
  </r>
  <r>
    <x v="77"/>
    <x v="2"/>
    <x v="0"/>
    <n v="10.7956263785826"/>
    <n v="7.5680220551195898"/>
    <n v="15.399736953344201"/>
  </r>
  <r>
    <x v="78"/>
    <x v="2"/>
    <x v="0"/>
    <n v="11.112062409821"/>
    <n v="7.6507341144688699"/>
    <n v="16.1393572371361"/>
  </r>
  <r>
    <x v="79"/>
    <x v="2"/>
    <x v="0"/>
    <n v="11.370245104317201"/>
    <n v="7.6907026482150096"/>
    <n v="16.810229135858801"/>
  </r>
  <r>
    <x v="80"/>
    <x v="2"/>
    <x v="0"/>
    <n v="11.517246155518301"/>
    <n v="7.6512134085078696"/>
    <n v="17.3367218929356"/>
  </r>
  <r>
    <x v="81"/>
    <x v="2"/>
    <x v="0"/>
    <n v="11.685273705974"/>
    <n v="7.6255793728137302"/>
    <n v="17.9062619255307"/>
  </r>
  <r>
    <x v="82"/>
    <x v="2"/>
    <x v="0"/>
    <n v="11.428260300770599"/>
    <n v="7.3260951584694904"/>
    <n v="17.827386988166701"/>
  </r>
  <r>
    <x v="83"/>
    <x v="2"/>
    <x v="0"/>
    <n v="11.252804770345801"/>
    <n v="7.0814129985437502"/>
    <n v="17.881405197741898"/>
  </r>
  <r>
    <x v="6"/>
    <x v="2"/>
    <x v="1"/>
    <n v="9.6700353324201007"/>
    <n v="9.4112283872492597"/>
    <n v="9.9359594181078492"/>
  </r>
  <r>
    <x v="7"/>
    <x v="2"/>
    <x v="1"/>
    <n v="9.6055742587913695"/>
    <n v="9.3742963878354697"/>
    <n v="9.8425580997081994"/>
  </r>
  <r>
    <x v="8"/>
    <x v="2"/>
    <x v="1"/>
    <n v="9.2100972616207404"/>
    <n v="8.9883740829678391"/>
    <n v="9.4372898574894997"/>
  </r>
  <r>
    <x v="9"/>
    <x v="2"/>
    <x v="1"/>
    <n v="9.2006459424341092"/>
    <n v="8.9803595849070899"/>
    <n v="9.4263358786100309"/>
  </r>
  <r>
    <x v="10"/>
    <x v="2"/>
    <x v="1"/>
    <n v="8.9063161283440504"/>
    <n v="8.6912454716308396"/>
    <n v="9.1267088516735999"/>
  </r>
  <r>
    <x v="11"/>
    <x v="2"/>
    <x v="1"/>
    <n v="8.7236828966842701"/>
    <n v="8.5142290089846"/>
    <n v="8.9382894448334405"/>
  </r>
  <r>
    <x v="12"/>
    <x v="2"/>
    <x v="1"/>
    <n v="8.5383268218830608"/>
    <n v="8.3290666840716998"/>
    <n v="8.7528444281404898"/>
  </r>
  <r>
    <x v="13"/>
    <x v="2"/>
    <x v="1"/>
    <n v="8.4060816745365194"/>
    <n v="8.2040989831993407"/>
    <n v="8.6130371249400408"/>
  </r>
  <r>
    <x v="14"/>
    <x v="2"/>
    <x v="1"/>
    <n v="7.8384423495944002"/>
    <n v="7.64699376278325"/>
    <n v="8.0346840044436494"/>
  </r>
  <r>
    <x v="15"/>
    <x v="2"/>
    <x v="1"/>
    <n v="7.91525609561163"/>
    <n v="7.7202436639008196"/>
    <n v="8.1151945180265503"/>
  </r>
  <r>
    <x v="16"/>
    <x v="2"/>
    <x v="1"/>
    <n v="7.8051724913306497"/>
    <n v="7.6076903320106801"/>
    <n v="8.0077809375455402"/>
  </r>
  <r>
    <x v="17"/>
    <x v="2"/>
    <x v="1"/>
    <n v="7.5127803086410196"/>
    <n v="7.3282645478054498"/>
    <n v="7.7019419260466702"/>
  </r>
  <r>
    <x v="18"/>
    <x v="2"/>
    <x v="1"/>
    <n v="7.3471997759128298"/>
    <n v="7.1660117235818301"/>
    <n v="7.5329690529995101"/>
  </r>
  <r>
    <x v="19"/>
    <x v="2"/>
    <x v="1"/>
    <n v="7.3421423641609103"/>
    <n v="7.1654720340470002"/>
    <n v="7.5231686397581399"/>
  </r>
  <r>
    <x v="20"/>
    <x v="2"/>
    <x v="1"/>
    <n v="7.4154240750303497"/>
    <n v="7.2324107040709196"/>
    <n v="7.6030685289468201"/>
  </r>
  <r>
    <x v="21"/>
    <x v="2"/>
    <x v="1"/>
    <n v="7.3961666125130199"/>
    <n v="7.2135349135525502"/>
    <n v="7.5834221661944996"/>
  </r>
  <r>
    <x v="22"/>
    <x v="2"/>
    <x v="1"/>
    <n v="7.34130843720631"/>
    <n v="7.1568299838938998"/>
    <n v="7.5305421103315604"/>
  </r>
  <r>
    <x v="23"/>
    <x v="2"/>
    <x v="1"/>
    <n v="6.9958397155189997"/>
    <n v="6.8287349803753701"/>
    <n v="7.1670336403277304"/>
  </r>
  <r>
    <x v="24"/>
    <x v="2"/>
    <x v="1"/>
    <n v="6.9489874118610997"/>
    <n v="6.7818597407345704"/>
    <n v="7.1202336669047304"/>
  </r>
  <r>
    <x v="25"/>
    <x v="2"/>
    <x v="1"/>
    <n v="7.0254907299904801"/>
    <n v="6.8496490204855398"/>
    <n v="7.2058465841923498"/>
  </r>
  <r>
    <x v="26"/>
    <x v="2"/>
    <x v="1"/>
    <n v="7.1852686334854399"/>
    <n v="7.0080530703789901"/>
    <n v="7.3669655205047899"/>
  </r>
  <r>
    <x v="27"/>
    <x v="2"/>
    <x v="1"/>
    <n v="7.9168229549366798"/>
    <n v="7.7197107836453602"/>
    <n v="8.1189681137530592"/>
  </r>
  <r>
    <x v="28"/>
    <x v="2"/>
    <x v="1"/>
    <n v="7.8867360529248902"/>
    <n v="7.6918181266841597"/>
    <n v="8.0865933832628407"/>
  </r>
  <r>
    <x v="29"/>
    <x v="2"/>
    <x v="1"/>
    <n v="7.83231324015195"/>
    <n v="7.6396140734095503"/>
    <n v="8.0298729886601894"/>
  </r>
  <r>
    <x v="30"/>
    <x v="2"/>
    <x v="1"/>
    <n v="8.0046476021362594"/>
    <n v="7.8101735580740703"/>
    <n v="8.2039640678850905"/>
  </r>
  <r>
    <x v="31"/>
    <x v="2"/>
    <x v="1"/>
    <n v="8.1600116696239304"/>
    <n v="7.9646472763971197"/>
    <n v="8.3601681452639696"/>
  </r>
  <r>
    <x v="32"/>
    <x v="2"/>
    <x v="1"/>
    <n v="8.2348154320775198"/>
    <n v="8.0344210097727409"/>
    <n v="8.4402080894065801"/>
  </r>
  <r>
    <x v="33"/>
    <x v="2"/>
    <x v="1"/>
    <n v="8.5259392135029994"/>
    <n v="8.3172172921535594"/>
    <n v="8.7398990454325691"/>
  </r>
  <r>
    <x v="34"/>
    <x v="2"/>
    <x v="1"/>
    <n v="8.3671852063241694"/>
    <n v="8.1596170837630808"/>
    <n v="8.58003354302536"/>
  </r>
  <r>
    <x v="35"/>
    <x v="2"/>
    <x v="1"/>
    <n v="8.2532054208535008"/>
    <n v="8.0560028771063994"/>
    <n v="8.4552352770846593"/>
  </r>
  <r>
    <x v="36"/>
    <x v="2"/>
    <x v="1"/>
    <n v="8.2161169497650803"/>
    <n v="8.01428485677007"/>
    <n v="8.4230319908322802"/>
  </r>
  <r>
    <x v="37"/>
    <x v="2"/>
    <x v="1"/>
    <n v="8.3687067976482297"/>
    <n v="8.1638410887450199"/>
    <n v="8.5787134638812397"/>
  </r>
  <r>
    <x v="38"/>
    <x v="2"/>
    <x v="1"/>
    <n v="8.2889079349128902"/>
    <n v="8.0845152278366399"/>
    <n v="8.4984680982346408"/>
  </r>
  <r>
    <x v="39"/>
    <x v="2"/>
    <x v="1"/>
    <n v="8.5536849327226694"/>
    <n v="8.3415489818121404"/>
    <n v="8.77121576434023"/>
  </r>
  <r>
    <x v="40"/>
    <x v="2"/>
    <x v="1"/>
    <n v="8.6305976523524492"/>
    <n v="8.4166263714226304"/>
    <n v="8.8500086079265294"/>
  </r>
  <r>
    <x v="41"/>
    <x v="2"/>
    <x v="1"/>
    <n v="8.82050131967463"/>
    <n v="8.6027716332385609"/>
    <n v="9.0437415808855004"/>
  </r>
  <r>
    <x v="42"/>
    <x v="2"/>
    <x v="1"/>
    <n v="8.9107633552584993"/>
    <n v="8.6940889812045601"/>
    <n v="9.1328376952517196"/>
  </r>
  <r>
    <x v="43"/>
    <x v="2"/>
    <x v="1"/>
    <n v="8.9480793949868591"/>
    <n v="8.7343779240069797"/>
    <n v="9.1670094373768904"/>
  </r>
  <r>
    <x v="44"/>
    <x v="2"/>
    <x v="1"/>
    <n v="8.9551250661870707"/>
    <n v="8.7408312136783604"/>
    <n v="9.1746726358881592"/>
  </r>
  <r>
    <x v="45"/>
    <x v="2"/>
    <x v="1"/>
    <n v="9.0046991069869495"/>
    <n v="8.7897266048438194"/>
    <n v="9.2249292444076296"/>
  </r>
  <r>
    <x v="46"/>
    <x v="2"/>
    <x v="1"/>
    <n v="8.76890312466473"/>
    <n v="8.5553562730761694"/>
    <n v="8.9877802344410096"/>
  </r>
  <r>
    <x v="47"/>
    <x v="2"/>
    <x v="1"/>
    <n v="8.6555966907219304"/>
    <n v="8.4473734237242599"/>
    <n v="8.8689525506267994"/>
  </r>
  <r>
    <x v="48"/>
    <x v="2"/>
    <x v="1"/>
    <n v="8.5579686155119106"/>
    <n v="8.3533371842304796"/>
    <n v="8.7676128963580897"/>
  </r>
  <r>
    <x v="49"/>
    <x v="2"/>
    <x v="1"/>
    <n v="8.6584997644427109"/>
    <n v="8.4451204755508904"/>
    <n v="8.8772704176211406"/>
  </r>
  <r>
    <x v="50"/>
    <x v="2"/>
    <x v="1"/>
    <n v="8.5403446924450996"/>
    <n v="8.3093154100514308"/>
    <n v="8.7777974317289509"/>
  </r>
  <r>
    <x v="51"/>
    <x v="2"/>
    <x v="1"/>
    <n v="9.0963885550765706"/>
    <n v="8.8722085373068005"/>
    <n v="9.3262330790576193"/>
  </r>
  <r>
    <x v="52"/>
    <x v="2"/>
    <x v="1"/>
    <n v="9.18093074089429"/>
    <n v="8.8727375844419694"/>
    <n v="9.4998289385788208"/>
  </r>
  <r>
    <x v="53"/>
    <x v="2"/>
    <x v="1"/>
    <n v="9.0390316057159392"/>
    <n v="8.6419396748088797"/>
    <n v="9.4543696720422492"/>
  </r>
  <r>
    <x v="54"/>
    <x v="2"/>
    <x v="1"/>
    <n v="9.1794280704558098"/>
    <n v="8.7047789353415403"/>
    <n v="9.6799585982094705"/>
  </r>
  <r>
    <x v="55"/>
    <x v="2"/>
    <x v="1"/>
    <n v="9.2639062113124506"/>
    <n v="8.7044390651080406"/>
    <n v="9.8593324222355392"/>
  </r>
  <r>
    <x v="56"/>
    <x v="2"/>
    <x v="1"/>
    <n v="9.2540469804370407"/>
    <n v="8.6148290178193907"/>
    <n v="9.9406947414741396"/>
  </r>
  <r>
    <x v="57"/>
    <x v="2"/>
    <x v="1"/>
    <n v="9.2208220737040101"/>
    <n v="8.5043219740689295"/>
    <n v="9.9976882312496897"/>
  </r>
  <r>
    <x v="58"/>
    <x v="2"/>
    <x v="1"/>
    <n v="8.8522018172505206"/>
    <n v="8.0802156953681799"/>
    <n v="9.6979437143308491"/>
  </r>
  <r>
    <x v="59"/>
    <x v="2"/>
    <x v="1"/>
    <n v="8.5601140231785795"/>
    <n v="7.7383289637443102"/>
    <n v="9.4691699504026996"/>
  </r>
  <r>
    <x v="60"/>
    <x v="2"/>
    <x v="1"/>
    <n v="8.5588294067334196"/>
    <n v="7.6543470485750298"/>
    <n v="9.5701906836327701"/>
  </r>
  <r>
    <x v="61"/>
    <x v="2"/>
    <x v="1"/>
    <n v="8.5000597996593896"/>
    <n v="7.5110182972283299"/>
    <n v="9.6193370510690102"/>
  </r>
  <r>
    <x v="62"/>
    <x v="2"/>
    <x v="1"/>
    <n v="8.2772168082139892"/>
    <n v="7.2300688924396503"/>
    <n v="9.4760256242955307"/>
  </r>
  <r>
    <x v="63"/>
    <x v="2"/>
    <x v="1"/>
    <n v="8.7681577620059592"/>
    <n v="7.5583308418293598"/>
    <n v="10.1716360593734"/>
  </r>
  <r>
    <x v="64"/>
    <x v="2"/>
    <x v="1"/>
    <n v="8.8632188410666792"/>
    <n v="7.5476545423857804"/>
    <n v="10.408087410928101"/>
  </r>
  <r>
    <x v="65"/>
    <x v="2"/>
    <x v="1"/>
    <n v="8.7400671927661104"/>
    <n v="7.3397395490304698"/>
    <n v="10.4075592905959"/>
  </r>
  <r>
    <x v="66"/>
    <x v="2"/>
    <x v="1"/>
    <n v="8.9257439942529402"/>
    <n v="7.3988502716344904"/>
    <n v="10.767741328186499"/>
  </r>
  <r>
    <x v="67"/>
    <x v="2"/>
    <x v="1"/>
    <n v="9.0602477344629193"/>
    <n v="7.4070993809286598"/>
    <n v="11.0823528601757"/>
  </r>
  <r>
    <x v="68"/>
    <x v="2"/>
    <x v="1"/>
    <n v="9.1032230714108398"/>
    <n v="7.3387838028971002"/>
    <n v="11.2918805776991"/>
  </r>
  <r>
    <x v="69"/>
    <x v="2"/>
    <x v="1"/>
    <n v="9.1159197600179507"/>
    <n v="7.2425409385545896"/>
    <n v="11.4738727438481"/>
  </r>
  <r>
    <x v="70"/>
    <x v="2"/>
    <x v="1"/>
    <n v="8.7967411740685097"/>
    <n v="6.8845099932609504"/>
    <n v="11.2401108226003"/>
  </r>
  <r>
    <x v="71"/>
    <x v="2"/>
    <x v="1"/>
    <n v="8.5490438110217504"/>
    <n v="6.5940094586799001"/>
    <n v="11.083719327481999"/>
  </r>
  <r>
    <x v="72"/>
    <x v="2"/>
    <x v="1"/>
    <n v="8.6861623320936197"/>
    <n v="6.6061954051440299"/>
    <n v="11.4210088307003"/>
  </r>
  <r>
    <x v="73"/>
    <x v="2"/>
    <x v="1"/>
    <n v="8.7661950706422207"/>
    <n v="6.56820566109515"/>
    <n v="11.6997213518645"/>
  </r>
  <r>
    <x v="74"/>
    <x v="2"/>
    <x v="1"/>
    <n v="8.6611189429848299"/>
    <n v="6.3934043733993198"/>
    <n v="11.7331826619072"/>
  </r>
  <r>
    <x v="75"/>
    <x v="2"/>
    <x v="1"/>
    <n v="9.2943802407257703"/>
    <n v="6.7464509538122401"/>
    <n v="12.804584907028699"/>
  </r>
  <r>
    <x v="76"/>
    <x v="2"/>
    <x v="1"/>
    <n v="9.5135935656104103"/>
    <n v="6.7924028680065396"/>
    <n v="13.3249549961083"/>
  </r>
  <r>
    <x v="77"/>
    <x v="2"/>
    <x v="1"/>
    <n v="9.5036471038034804"/>
    <n v="6.6696794080757202"/>
    <n v="13.541776560395499"/>
  </r>
  <r>
    <x v="78"/>
    <x v="2"/>
    <x v="1"/>
    <n v="9.8265539157609396"/>
    <n v="6.7784100434501804"/>
    <n v="14.245399915377099"/>
  </r>
  <r>
    <x v="79"/>
    <x v="2"/>
    <x v="1"/>
    <n v="10.1031674008686"/>
    <n v="6.8480520903920601"/>
    <n v="14.905551269562601"/>
  </r>
  <r>
    <x v="80"/>
    <x v="2"/>
    <x v="1"/>
    <n v="10.281898741313601"/>
    <n v="6.8465115869403901"/>
    <n v="15.4410666489311"/>
  </r>
  <r>
    <x v="81"/>
    <x v="2"/>
    <x v="1"/>
    <n v="10.503392663356401"/>
    <n v="6.8699465955279004"/>
    <n v="16.058532028831898"/>
  </r>
  <r>
    <x v="82"/>
    <x v="2"/>
    <x v="1"/>
    <n v="10.346423664151301"/>
    <n v="6.6464120501431498"/>
    <n v="16.106206150099201"/>
  </r>
  <r>
    <x v="83"/>
    <x v="2"/>
    <x v="1"/>
    <n v="10.257392096874099"/>
    <n v="6.4705180843861898"/>
    <n v="16.2605360586046"/>
  </r>
  <r>
    <x v="0"/>
    <x v="0"/>
    <x v="4"/>
    <n v="2.7898132624733201"/>
    <n v="2.7541578776539701"/>
    <n v="2.8259302426416202"/>
  </r>
  <r>
    <x v="1"/>
    <x v="0"/>
    <x v="4"/>
    <n v="2.6760588371359302"/>
    <n v="2.64276258965688"/>
    <n v="2.70977458506521"/>
  </r>
  <r>
    <x v="2"/>
    <x v="0"/>
    <x v="4"/>
    <n v="2.6127126080446201"/>
    <n v="2.5801550370544999"/>
    <n v="2.6456810052887998"/>
  </r>
  <r>
    <x v="3"/>
    <x v="0"/>
    <x v="4"/>
    <n v="2.5908861048009002"/>
    <n v="2.5586536305125298"/>
    <n v="2.62352462560778"/>
  </r>
  <r>
    <x v="4"/>
    <x v="0"/>
    <x v="4"/>
    <n v="2.5644426324721299"/>
    <n v="2.5325177882203498"/>
    <n v="2.5967699203652801"/>
  </r>
  <r>
    <x v="5"/>
    <x v="0"/>
    <x v="4"/>
    <n v="2.4929414453496599"/>
    <n v="2.4619185255348901"/>
    <n v="2.5243552885617202"/>
  </r>
  <r>
    <x v="6"/>
    <x v="0"/>
    <x v="4"/>
    <n v="2.5531091237884098"/>
    <n v="2.5213089096416201"/>
    <n v="2.5853104207283102"/>
  </r>
  <r>
    <x v="7"/>
    <x v="0"/>
    <x v="4"/>
    <n v="2.6213085257342401"/>
    <n v="2.5885814733759802"/>
    <n v="2.6544493413705998"/>
  </r>
  <r>
    <x v="8"/>
    <x v="0"/>
    <x v="4"/>
    <n v="2.5751131980853601"/>
    <n v="2.54297012349496"/>
    <n v="2.6076625602819701"/>
  </r>
  <r>
    <x v="9"/>
    <x v="0"/>
    <x v="4"/>
    <n v="2.60229668919097"/>
    <n v="2.5698041249782499"/>
    <n v="2.6352000888906701"/>
  </r>
  <r>
    <x v="10"/>
    <x v="0"/>
    <x v="4"/>
    <n v="2.55966494836944"/>
    <n v="2.5276969962881699"/>
    <n v="2.5920372012675199"/>
  </r>
  <r>
    <x v="11"/>
    <x v="0"/>
    <x v="4"/>
    <n v="2.4547917634683198"/>
    <n v="2.4241304574860201"/>
    <n v="2.4858408850822702"/>
  </r>
  <r>
    <x v="12"/>
    <x v="0"/>
    <x v="4"/>
    <n v="2.4942612525169299"/>
    <n v="2.4630925872974401"/>
    <n v="2.52582433477806"/>
  </r>
  <r>
    <x v="13"/>
    <x v="0"/>
    <x v="4"/>
    <n v="2.4686836816700199"/>
    <n v="2.4379711519856699"/>
    <n v="2.4997831148166401"/>
  </r>
  <r>
    <x v="14"/>
    <x v="0"/>
    <x v="4"/>
    <n v="2.3257017253754699"/>
    <n v="2.29675942980231"/>
    <n v="2.35500873327425"/>
  </r>
  <r>
    <x v="15"/>
    <x v="0"/>
    <x v="4"/>
    <n v="2.37538104282027"/>
    <n v="2.3458297453085901"/>
    <n v="2.4053046091150301"/>
  </r>
  <r>
    <x v="16"/>
    <x v="0"/>
    <x v="4"/>
    <n v="2.3453309289734201"/>
    <n v="2.31610860180797"/>
    <n v="2.3749219540506701"/>
  </r>
  <r>
    <x v="17"/>
    <x v="0"/>
    <x v="4"/>
    <n v="2.3603633244550601"/>
    <n v="2.3309967081963099"/>
    <n v="2.3900999104128"/>
  </r>
  <r>
    <x v="18"/>
    <x v="0"/>
    <x v="4"/>
    <n v="2.3977940553643502"/>
    <n v="2.3674745983515701"/>
    <n v="2.4285018035436701"/>
  </r>
  <r>
    <x v="19"/>
    <x v="0"/>
    <x v="4"/>
    <n v="2.4790047800000101"/>
    <n v="2.4464699451094098"/>
    <n v="2.51197228543433"/>
  </r>
  <r>
    <x v="20"/>
    <x v="0"/>
    <x v="4"/>
    <n v="2.5196715753998302"/>
    <n v="2.4877193360215899"/>
    <n v="2.5520342089839301"/>
  </r>
  <r>
    <x v="21"/>
    <x v="0"/>
    <x v="4"/>
    <n v="2.38484371611943"/>
    <n v="2.3547603108319399"/>
    <n v="2.41531145405833"/>
  </r>
  <r>
    <x v="22"/>
    <x v="0"/>
    <x v="4"/>
    <n v="2.3343267559007299"/>
    <n v="2.30494182844203"/>
    <n v="2.3640863019077498"/>
  </r>
  <r>
    <x v="23"/>
    <x v="0"/>
    <x v="4"/>
    <n v="2.2228174654802402"/>
    <n v="2.19506309151912"/>
    <n v="2.2509227656980699"/>
  </r>
  <r>
    <x v="24"/>
    <x v="0"/>
    <x v="4"/>
    <n v="2.2520319128170501"/>
    <n v="2.22395241719865"/>
    <n v="2.2804659385360502"/>
  </r>
  <r>
    <x v="25"/>
    <x v="0"/>
    <x v="4"/>
    <n v="2.27083769760356"/>
    <n v="2.2424780971456801"/>
    <n v="2.2995559490284898"/>
  </r>
  <r>
    <x v="26"/>
    <x v="0"/>
    <x v="4"/>
    <n v="2.1107579578236599"/>
    <n v="2.08441158979379"/>
    <n v="2.1374373364315602"/>
  </r>
  <r>
    <x v="27"/>
    <x v="0"/>
    <x v="4"/>
    <n v="2.0094753686531202"/>
    <n v="1.9844435249927601"/>
    <n v="2.0348229649106901"/>
  </r>
  <r>
    <x v="28"/>
    <x v="0"/>
    <x v="4"/>
    <n v="1.9520097304011901"/>
    <n v="1.9276885243153801"/>
    <n v="1.97663779159249"/>
  </r>
  <r>
    <x v="29"/>
    <x v="0"/>
    <x v="4"/>
    <n v="2.0116768403181999"/>
    <n v="1.9866499435631899"/>
    <n v="2.0370190143384499"/>
  </r>
  <r>
    <x v="30"/>
    <x v="0"/>
    <x v="4"/>
    <n v="2.0444276517729998"/>
    <n v="2.01897323265373"/>
    <n v="2.0702029901804599"/>
  </r>
  <r>
    <x v="31"/>
    <x v="0"/>
    <x v="4"/>
    <n v="2.0840634260161099"/>
    <n v="2.0580348866006601"/>
    <n v="2.1104211556063799"/>
  </r>
  <r>
    <x v="32"/>
    <x v="0"/>
    <x v="4"/>
    <n v="2.1528307196354199"/>
    <n v="2.1258707894692899"/>
    <n v="2.18013255103005"/>
  </r>
  <r>
    <x v="33"/>
    <x v="0"/>
    <x v="4"/>
    <n v="2.1487050347580401"/>
    <n v="2.12173471261882"/>
    <n v="2.1760181887658998"/>
  </r>
  <r>
    <x v="34"/>
    <x v="0"/>
    <x v="4"/>
    <n v="2.1197986718881601"/>
    <n v="2.0933296345384398"/>
    <n v="2.1466023961054601"/>
  </r>
  <r>
    <x v="35"/>
    <x v="0"/>
    <x v="4"/>
    <n v="2.0842159040627499"/>
    <n v="2.0581955803007399"/>
    <n v="2.1105651845357398"/>
  </r>
  <r>
    <x v="36"/>
    <x v="0"/>
    <x v="4"/>
    <n v="2.1353517807782101"/>
    <n v="2.1087125283137498"/>
    <n v="2.1623275654927201"/>
  </r>
  <r>
    <x v="37"/>
    <x v="0"/>
    <x v="4"/>
    <n v="2.1088804463353799"/>
    <n v="2.0826422801325002"/>
    <n v="2.1354491740428698"/>
  </r>
  <r>
    <x v="38"/>
    <x v="0"/>
    <x v="4"/>
    <n v="2.0763091679586401"/>
    <n v="2.0504038829865698"/>
    <n v="2.10254174639471"/>
  </r>
  <r>
    <x v="39"/>
    <x v="0"/>
    <x v="4"/>
    <n v="2.1127067101940198"/>
    <n v="2.08639267359644"/>
    <n v="2.1393526251243902"/>
  </r>
  <r>
    <x v="40"/>
    <x v="0"/>
    <x v="4"/>
    <n v="2.1600702246296599"/>
    <n v="2.1331282451673199"/>
    <n v="2.1873524884884099"/>
  </r>
  <r>
    <x v="41"/>
    <x v="0"/>
    <x v="4"/>
    <n v="2.1177808700858001"/>
    <n v="2.0913761830783701"/>
    <n v="2.1445189296837799"/>
  </r>
  <r>
    <x v="42"/>
    <x v="0"/>
    <x v="4"/>
    <n v="2.1546109708775298"/>
    <n v="2.1277754766248398"/>
    <n v="2.1817849142568901"/>
  </r>
  <r>
    <x v="43"/>
    <x v="0"/>
    <x v="4"/>
    <n v="2.1431648310010298"/>
    <n v="2.11640443514696"/>
    <n v="2.17026359261089"/>
  </r>
  <r>
    <x v="44"/>
    <x v="0"/>
    <x v="4"/>
    <n v="2.1794506631553201"/>
    <n v="2.1522648172428598"/>
    <n v="2.20697990092739"/>
  </r>
  <r>
    <x v="45"/>
    <x v="0"/>
    <x v="4"/>
    <n v="2.22332625196981"/>
    <n v="2.1955605646998402"/>
    <n v="2.25144307206752"/>
  </r>
  <r>
    <x v="46"/>
    <x v="0"/>
    <x v="4"/>
    <n v="2.2166439683833001"/>
    <n v="2.1888738206863998"/>
    <n v="2.24476643474555"/>
  </r>
  <r>
    <x v="47"/>
    <x v="0"/>
    <x v="4"/>
    <n v="2.06431609191818"/>
    <n v="2.0385142716742202"/>
    <n v="2.09044449016905"/>
  </r>
  <r>
    <x v="48"/>
    <x v="0"/>
    <x v="4"/>
    <n v="2.0549407167380802"/>
    <n v="2.02931266572247"/>
    <n v="2.0808924226591001"/>
  </r>
  <r>
    <x v="49"/>
    <x v="0"/>
    <x v="4"/>
    <n v="2.08315932522118"/>
    <n v="2.0571731519487"/>
    <n v="2.1094737553546401"/>
  </r>
  <r>
    <x v="50"/>
    <x v="0"/>
    <x v="4"/>
    <n v="2.0568984282254701"/>
    <n v="2.0312369895392202"/>
    <n v="2.08288405824874"/>
  </r>
  <r>
    <x v="51"/>
    <x v="0"/>
    <x v="4"/>
    <n v="2.1320212177362201"/>
    <n v="2.1054972857180201"/>
    <n v="2.1588792841057201"/>
  </r>
  <r>
    <x v="52"/>
    <x v="0"/>
    <x v="4"/>
    <n v="2.1089380054237501"/>
    <n v="2.0826853137666901"/>
    <n v="2.1355216178467602"/>
  </r>
  <r>
    <x v="53"/>
    <x v="0"/>
    <x v="4"/>
    <n v="2.11987306305745"/>
    <n v="2.09347534917694"/>
    <n v="2.14660363937094"/>
  </r>
  <r>
    <x v="54"/>
    <x v="0"/>
    <x v="4"/>
    <n v="2.1795041908699799"/>
    <n v="2.1523589679835702"/>
    <n v="2.2069917651654798"/>
  </r>
  <r>
    <x v="55"/>
    <x v="0"/>
    <x v="4"/>
    <n v="2.2050357355727899"/>
    <n v="2.17750381188341"/>
    <n v="2.2329157674114501"/>
  </r>
  <r>
    <x v="56"/>
    <x v="0"/>
    <x v="4"/>
    <n v="2.16745465422219"/>
    <n v="2.1397588138100501"/>
    <n v="2.1955089740906"/>
  </r>
  <r>
    <x v="57"/>
    <x v="0"/>
    <x v="4"/>
    <n v="2.1539064672459398"/>
    <n v="2.1113866695861101"/>
    <n v="2.1972825425450502"/>
  </r>
  <r>
    <x v="58"/>
    <x v="0"/>
    <x v="4"/>
    <n v="2.12507525273341"/>
    <n v="2.0655726710377"/>
    <n v="2.1862919146346398"/>
  </r>
  <r>
    <x v="59"/>
    <x v="0"/>
    <x v="4"/>
    <n v="2.0327717805147598"/>
    <n v="1.96275611884804"/>
    <n v="2.1052850489047898"/>
  </r>
  <r>
    <x v="60"/>
    <x v="0"/>
    <x v="4"/>
    <n v="2.0597997766635601"/>
    <n v="1.98127919278724"/>
    <n v="2.1414322299395701"/>
  </r>
  <r>
    <x v="61"/>
    <x v="0"/>
    <x v="4"/>
    <n v="2.0437103563776202"/>
    <n v="1.9566485697491101"/>
    <n v="2.1346459887279101"/>
  </r>
  <r>
    <x v="62"/>
    <x v="0"/>
    <x v="4"/>
    <n v="1.9707103764378899"/>
    <n v="1.87858192133743"/>
    <n v="2.0673569481787699"/>
  </r>
  <r>
    <x v="63"/>
    <x v="0"/>
    <x v="4"/>
    <n v="1.9792755936961299"/>
    <n v="1.88064428192271"/>
    <n v="2.0830796729916501"/>
  </r>
  <r>
    <x v="64"/>
    <x v="0"/>
    <x v="4"/>
    <n v="1.96507141914946"/>
    <n v="1.86128417509639"/>
    <n v="2.0746459535971198"/>
  </r>
  <r>
    <x v="65"/>
    <x v="0"/>
    <x v="4"/>
    <n v="1.96382042641201"/>
    <n v="1.85361425855525"/>
    <n v="2.0805788741606701"/>
  </r>
  <r>
    <x v="66"/>
    <x v="0"/>
    <x v="4"/>
    <n v="2.00583032645822"/>
    <n v="1.88809151524411"/>
    <n v="2.1309111693239702"/>
  </r>
  <r>
    <x v="67"/>
    <x v="0"/>
    <x v="4"/>
    <n v="2.04032478702316"/>
    <n v="1.91472967828733"/>
    <n v="2.1741582029817899"/>
  </r>
  <r>
    <x v="68"/>
    <x v="0"/>
    <x v="4"/>
    <n v="2.0560264590834199"/>
    <n v="1.9240456919201701"/>
    <n v="2.19706050547707"/>
  </r>
  <r>
    <x v="69"/>
    <x v="0"/>
    <x v="4"/>
    <n v="2.04327702913417"/>
    <n v="1.9034222844009501"/>
    <n v="2.1934076594576202"/>
  </r>
  <r>
    <x v="70"/>
    <x v="0"/>
    <x v="4"/>
    <n v="2.0160308981885402"/>
    <n v="1.86925694821015"/>
    <n v="2.1743295304279102"/>
  </r>
  <r>
    <x v="71"/>
    <x v="0"/>
    <x v="4"/>
    <n v="1.92856031821721"/>
    <n v="1.7804313738386199"/>
    <n v="2.0890133456720301"/>
  </r>
  <r>
    <x v="72"/>
    <x v="0"/>
    <x v="4"/>
    <n v="1.95423469290955"/>
    <n v="1.7988795718914601"/>
    <n v="2.1230066173666602"/>
  </r>
  <r>
    <x v="73"/>
    <x v="0"/>
    <x v="4"/>
    <n v="1.9390015963712699"/>
    <n v="1.7784475156801101"/>
    <n v="2.1140501238196601"/>
  </r>
  <r>
    <x v="74"/>
    <x v="0"/>
    <x v="4"/>
    <n v="1.8697693872621699"/>
    <n v="1.7089051410937399"/>
    <n v="2.0457762560800701"/>
  </r>
  <r>
    <x v="75"/>
    <x v="0"/>
    <x v="4"/>
    <n v="1.87789423544437"/>
    <n v="1.71145250089016"/>
    <n v="2.0605227183816099"/>
  </r>
  <r>
    <x v="76"/>
    <x v="0"/>
    <x v="4"/>
    <n v="1.8644160306713"/>
    <n v="1.69436965715918"/>
    <n v="2.0515282014977601"/>
  </r>
  <r>
    <x v="77"/>
    <x v="0"/>
    <x v="4"/>
    <n v="1.8632274760993499"/>
    <n v="1.68790802066733"/>
    <n v="2.05675699456599"/>
  </r>
  <r>
    <x v="78"/>
    <x v="0"/>
    <x v="4"/>
    <n v="1.9030120450713299"/>
    <n v="1.71942308693534"/>
    <n v="2.10620345347425"/>
  </r>
  <r>
    <x v="79"/>
    <x v="0"/>
    <x v="4"/>
    <n v="1.9356611246467199"/>
    <n v="1.7438302862655499"/>
    <n v="2.14859440105977"/>
  </r>
  <r>
    <x v="80"/>
    <x v="0"/>
    <x v="4"/>
    <n v="1.95047954342245"/>
    <n v="1.75232553162548"/>
    <n v="2.17104092855421"/>
  </r>
  <r>
    <x v="81"/>
    <x v="0"/>
    <x v="4"/>
    <n v="1.9383143649664401"/>
    <n v="1.73387504947105"/>
    <n v="2.1668588971168501"/>
  </r>
  <r>
    <x v="82"/>
    <x v="0"/>
    <x v="4"/>
    <n v="1.9123962450057399"/>
    <n v="1.7029498585577201"/>
    <n v="2.1476025142686699"/>
  </r>
  <r>
    <x v="83"/>
    <x v="0"/>
    <x v="4"/>
    <n v="1.8293558188454599"/>
    <n v="1.6221204315214599"/>
    <n v="2.06306674086145"/>
  </r>
  <r>
    <x v="0"/>
    <x v="0"/>
    <x v="5"/>
    <n v="2.79022767433116"/>
    <n v="2.7555012462584401"/>
    <n v="2.82539174503182"/>
  </r>
  <r>
    <x v="1"/>
    <x v="0"/>
    <x v="5"/>
    <n v="2.6755698206896699"/>
    <n v="2.6431071786454599"/>
    <n v="2.7084311688994802"/>
  </r>
  <r>
    <x v="2"/>
    <x v="0"/>
    <x v="5"/>
    <n v="2.6129009829582301"/>
    <n v="2.58115257133599"/>
    <n v="2.64503990293387"/>
  </r>
  <r>
    <x v="3"/>
    <x v="0"/>
    <x v="5"/>
    <n v="2.59080986688629"/>
    <n v="2.5593789431412701"/>
    <n v="2.6226267838700701"/>
  </r>
  <r>
    <x v="4"/>
    <x v="0"/>
    <x v="5"/>
    <n v="2.5647198127560902"/>
    <n v="2.53358574560498"/>
    <n v="2.5962364721044602"/>
  </r>
  <r>
    <x v="5"/>
    <x v="0"/>
    <x v="5"/>
    <n v="2.4926003731830102"/>
    <n v="2.46235044951985"/>
    <n v="2.5232219165243501"/>
  </r>
  <r>
    <x v="6"/>
    <x v="0"/>
    <x v="5"/>
    <n v="2.55306313393335"/>
    <n v="2.5220553610407999"/>
    <n v="2.5844521363558401"/>
  </r>
  <r>
    <x v="7"/>
    <x v="0"/>
    <x v="5"/>
    <n v="2.6216657354817898"/>
    <n v="2.5897537920148901"/>
    <n v="2.6539709102044799"/>
  </r>
  <r>
    <x v="8"/>
    <x v="0"/>
    <x v="5"/>
    <n v="2.57466212520765"/>
    <n v="2.5433319240693799"/>
    <n v="2.6063782694837698"/>
  </r>
  <r>
    <x v="9"/>
    <x v="0"/>
    <x v="5"/>
    <n v="2.6024969944045502"/>
    <n v="2.5708154088658302"/>
    <n v="2.6345690097107202"/>
  </r>
  <r>
    <x v="10"/>
    <x v="0"/>
    <x v="5"/>
    <n v="2.55958982106461"/>
    <n v="2.52842361205487"/>
    <n v="2.59114019536193"/>
  </r>
  <r>
    <x v="11"/>
    <x v="0"/>
    <x v="5"/>
    <n v="2.4547631882974299"/>
    <n v="2.4248702383927001"/>
    <n v="2.4850246480052101"/>
  </r>
  <r>
    <x v="12"/>
    <x v="0"/>
    <x v="5"/>
    <n v="2.4943942160168699"/>
    <n v="2.4640048674191299"/>
    <n v="2.52515836602851"/>
  </r>
  <r>
    <x v="13"/>
    <x v="0"/>
    <x v="5"/>
    <n v="2.4688851888864898"/>
    <n v="2.43893303027617"/>
    <n v="2.4992051853153399"/>
  </r>
  <r>
    <x v="14"/>
    <x v="0"/>
    <x v="5"/>
    <n v="2.3253059156160001"/>
    <n v="2.2970876374144402"/>
    <n v="2.3538708376336999"/>
  </r>
  <r>
    <x v="15"/>
    <x v="0"/>
    <x v="5"/>
    <n v="2.3755768700917201"/>
    <n v="2.3467571087713499"/>
    <n v="2.4047505575339998"/>
  </r>
  <r>
    <x v="16"/>
    <x v="0"/>
    <x v="5"/>
    <n v="2.3452716349174398"/>
    <n v="2.3167783199418799"/>
    <n v="2.3741153800534001"/>
  </r>
  <r>
    <x v="17"/>
    <x v="0"/>
    <x v="5"/>
    <n v="2.3604670136205499"/>
    <n v="2.3318290575929899"/>
    <n v="2.3894566817613101"/>
  </r>
  <r>
    <x v="18"/>
    <x v="0"/>
    <x v="5"/>
    <n v="2.39756051494349"/>
    <n v="2.3680199751014301"/>
    <n v="2.4274695666660899"/>
  </r>
  <r>
    <x v="19"/>
    <x v="0"/>
    <x v="5"/>
    <n v="2.4790047799999999"/>
    <n v="2.4473692102512699"/>
    <n v="2.51104928243823"/>
  </r>
  <r>
    <x v="20"/>
    <x v="0"/>
    <x v="5"/>
    <n v="2.5204250927397598"/>
    <n v="2.4892758922929401"/>
    <n v="2.5519640742837599"/>
  </r>
  <r>
    <x v="21"/>
    <x v="0"/>
    <x v="5"/>
    <n v="2.3843455620072"/>
    <n v="2.3550335786204299"/>
    <n v="2.41402237771648"/>
  </r>
  <r>
    <x v="22"/>
    <x v="0"/>
    <x v="5"/>
    <n v="2.3343669877724098"/>
    <n v="2.30572722141771"/>
    <n v="2.3633624927458001"/>
  </r>
  <r>
    <x v="23"/>
    <x v="0"/>
    <x v="5"/>
    <n v="2.2227495762540599"/>
    <n v="2.1956906894592598"/>
    <n v="2.2501419268459699"/>
  </r>
  <r>
    <x v="24"/>
    <x v="0"/>
    <x v="5"/>
    <n v="2.2518809833672599"/>
    <n v="2.2245041935941599"/>
    <n v="2.2795946970357801"/>
  </r>
  <r>
    <x v="25"/>
    <x v="0"/>
    <x v="5"/>
    <n v="2.2712841149037"/>
    <n v="2.2436285137934302"/>
    <n v="2.2992806067933702"/>
  </r>
  <r>
    <x v="26"/>
    <x v="0"/>
    <x v="5"/>
    <n v="2.1109759190455701"/>
    <n v="2.0852853184492299"/>
    <n v="2.1369830264302898"/>
  </r>
  <r>
    <x v="27"/>
    <x v="0"/>
    <x v="5"/>
    <n v="2.0092210547849199"/>
    <n v="1.98481570939702"/>
    <n v="2.0339264889320301"/>
  </r>
  <r>
    <x v="28"/>
    <x v="0"/>
    <x v="5"/>
    <n v="1.9515384401539699"/>
    <n v="1.92782837553287"/>
    <n v="1.9755401112123701"/>
  </r>
  <r>
    <x v="29"/>
    <x v="0"/>
    <x v="5"/>
    <n v="2.01194005036366"/>
    <n v="1.9875311229767101"/>
    <n v="2.0366487444960399"/>
  </r>
  <r>
    <x v="30"/>
    <x v="0"/>
    <x v="5"/>
    <n v="2.04437654130734"/>
    <n v="2.0195559210074099"/>
    <n v="2.0695022104478"/>
  </r>
  <r>
    <x v="31"/>
    <x v="0"/>
    <x v="5"/>
    <n v="2.08389766225475"/>
    <n v="2.0585227915478801"/>
    <n v="2.10958532233954"/>
  </r>
  <r>
    <x v="32"/>
    <x v="0"/>
    <x v="5"/>
    <n v="2.1529525315550102"/>
    <n v="2.12667510737265"/>
    <n v="2.1795546423899199"/>
  </r>
  <r>
    <x v="33"/>
    <x v="0"/>
    <x v="5"/>
    <n v="2.14881681938264"/>
    <n v="2.1225264664599499"/>
    <n v="2.1754328137838801"/>
  </r>
  <r>
    <x v="34"/>
    <x v="0"/>
    <x v="5"/>
    <n v="2.1195465833932499"/>
    <n v="2.0937431319067401"/>
    <n v="2.14566803860165"/>
  </r>
  <r>
    <x v="35"/>
    <x v="0"/>
    <x v="5"/>
    <n v="2.08435300294625"/>
    <n v="2.0589822371822599"/>
    <n v="2.1100363871213399"/>
  </r>
  <r>
    <x v="36"/>
    <x v="0"/>
    <x v="5"/>
    <n v="2.1354566406681101"/>
    <n v="2.1094814307318002"/>
    <n v="2.1617516977106299"/>
  </r>
  <r>
    <x v="37"/>
    <x v="0"/>
    <x v="5"/>
    <n v="2.1086730921272401"/>
    <n v="2.08308923393971"/>
    <n v="2.1345711633542801"/>
  </r>
  <r>
    <x v="38"/>
    <x v="0"/>
    <x v="5"/>
    <n v="2.0764075517722098"/>
    <n v="2.0511479627367399"/>
    <n v="2.1019782089752801"/>
  </r>
  <r>
    <x v="39"/>
    <x v="0"/>
    <x v="5"/>
    <n v="2.1125555586145999"/>
    <n v="2.0868983755738002"/>
    <n v="2.1385281815682"/>
  </r>
  <r>
    <x v="40"/>
    <x v="0"/>
    <x v="5"/>
    <n v="2.16045107870575"/>
    <n v="2.1341766245522802"/>
    <n v="2.1870490051216098"/>
  </r>
  <r>
    <x v="41"/>
    <x v="0"/>
    <x v="5"/>
    <n v="2.1177197334323701"/>
    <n v="2.0919786313859801"/>
    <n v="2.1437775711875302"/>
  </r>
  <r>
    <x v="42"/>
    <x v="0"/>
    <x v="5"/>
    <n v="2.1547731840354598"/>
    <n v="2.1286039825987202"/>
    <n v="2.1812641114059401"/>
  </r>
  <r>
    <x v="43"/>
    <x v="0"/>
    <x v="5"/>
    <n v="2.1428712488333401"/>
    <n v="2.1167844232489199"/>
    <n v="2.1692795632106598"/>
  </r>
  <r>
    <x v="44"/>
    <x v="0"/>
    <x v="5"/>
    <n v="2.1793126420537599"/>
    <n v="2.1528055133338602"/>
    <n v="2.2061461485484402"/>
  </r>
  <r>
    <x v="45"/>
    <x v="0"/>
    <x v="5"/>
    <n v="2.2235039313262801"/>
    <n v="2.1964313907115498"/>
    <n v="2.2509101597850401"/>
  </r>
  <r>
    <x v="46"/>
    <x v="0"/>
    <x v="5"/>
    <n v="2.2169344656718799"/>
    <n v="2.1898601530614998"/>
    <n v="2.24434351125702"/>
  </r>
  <r>
    <x v="47"/>
    <x v="0"/>
    <x v="5"/>
    <n v="2.0642673862735399"/>
    <n v="2.0391130542637099"/>
    <n v="2.0897320200675402"/>
  </r>
  <r>
    <x v="48"/>
    <x v="0"/>
    <x v="5"/>
    <n v="2.0545627987798301"/>
    <n v="2.0295787339842102"/>
    <n v="2.0798544168047299"/>
  </r>
  <r>
    <x v="49"/>
    <x v="0"/>
    <x v="5"/>
    <n v="2.0831653530999401"/>
    <n v="2.0578274439289399"/>
    <n v="2.1088152464671999"/>
  </r>
  <r>
    <x v="50"/>
    <x v="0"/>
    <x v="5"/>
    <n v="2.0567903770696101"/>
    <n v="2.03177085955436"/>
    <n v="2.0821179885088199"/>
  </r>
  <r>
    <x v="51"/>
    <x v="0"/>
    <x v="5"/>
    <n v="2.1323305982666101"/>
    <n v="2.1064617553982798"/>
    <n v="2.1585171288544802"/>
  </r>
  <r>
    <x v="52"/>
    <x v="0"/>
    <x v="5"/>
    <n v="2.1089008241084501"/>
    <n v="2.0833007349305399"/>
    <n v="2.1348154932003101"/>
  </r>
  <r>
    <x v="53"/>
    <x v="0"/>
    <x v="5"/>
    <n v="2.1198538407184002"/>
    <n v="2.0941233761348901"/>
    <n v="2.1459004551597598"/>
  </r>
  <r>
    <x v="54"/>
    <x v="0"/>
    <x v="5"/>
    <n v="2.1796461525498398"/>
    <n v="2.1531741416007102"/>
    <n v="2.2064436213196599"/>
  </r>
  <r>
    <x v="55"/>
    <x v="0"/>
    <x v="5"/>
    <n v="2.2052127505218002"/>
    <n v="2.17836820254327"/>
    <n v="2.23238811023149"/>
  </r>
  <r>
    <x v="56"/>
    <x v="0"/>
    <x v="5"/>
    <n v="2.1672009084222799"/>
    <n v="2.14023427635331"/>
    <n v="2.19450731602572"/>
  </r>
  <r>
    <x v="57"/>
    <x v="0"/>
    <x v="5"/>
    <n v="2.1517561574744102"/>
    <n v="2.02714658510493"/>
    <n v="2.28402553384633"/>
  </r>
  <r>
    <x v="58"/>
    <x v="0"/>
    <x v="5"/>
    <n v="2.1208336372107701"/>
    <n v="1.9418738564467799"/>
    <n v="2.31628604597155"/>
  </r>
  <r>
    <x v="59"/>
    <x v="0"/>
    <x v="5"/>
    <n v="2.0270649997085699"/>
    <n v="1.81366662305391"/>
    <n v="2.26557210725124"/>
  </r>
  <r>
    <x v="60"/>
    <x v="0"/>
    <x v="5"/>
    <n v="2.0532673144092"/>
    <n v="1.8144341746324699"/>
    <n v="2.32353795103929"/>
  </r>
  <r>
    <x v="61"/>
    <x v="0"/>
    <x v="5"/>
    <n v="2.0356311994071299"/>
    <n v="1.76726049676039"/>
    <n v="2.3447558453299902"/>
  </r>
  <r>
    <x v="62"/>
    <x v="0"/>
    <x v="5"/>
    <n v="1.96150920174003"/>
    <n v="1.6748640812048201"/>
    <n v="2.2972122882610799"/>
  </r>
  <r>
    <x v="63"/>
    <x v="0"/>
    <x v="5"/>
    <n v="1.9691570713945701"/>
    <n v="1.66276867563995"/>
    <n v="2.3320018163866698"/>
  </r>
  <r>
    <x v="64"/>
    <x v="0"/>
    <x v="5"/>
    <n v="1.9541976319727701"/>
    <n v="1.6328512667472801"/>
    <n v="2.3387852051065199"/>
  </r>
  <r>
    <x v="65"/>
    <x v="0"/>
    <x v="5"/>
    <n v="1.9516619152472801"/>
    <n v="1.6082665810394801"/>
    <n v="2.3683786483735898"/>
  </r>
  <r>
    <x v="66"/>
    <x v="0"/>
    <x v="5"/>
    <n v="1.9928127967409699"/>
    <n v="1.62931213795302"/>
    <n v="2.4374107025581302"/>
  </r>
  <r>
    <x v="67"/>
    <x v="0"/>
    <x v="5"/>
    <n v="2.0261466880856802"/>
    <n v="1.6389836493282599"/>
    <n v="2.5047659281550101"/>
  </r>
  <r>
    <x v="68"/>
    <x v="0"/>
    <x v="5"/>
    <n v="2.04076776443129"/>
    <n v="1.6350750924628601"/>
    <n v="2.5471203662387798"/>
  </r>
  <r>
    <x v="69"/>
    <x v="0"/>
    <x v="5"/>
    <n v="2.02610875065748"/>
    <n v="1.5909710101065599"/>
    <n v="2.5802586240813201"/>
  </r>
  <r>
    <x v="70"/>
    <x v="0"/>
    <x v="5"/>
    <n v="1.99687446354721"/>
    <n v="1.5331355567474201"/>
    <n v="2.60088392420207"/>
  </r>
  <r>
    <x v="71"/>
    <x v="0"/>
    <x v="5"/>
    <n v="1.9084778399488"/>
    <n v="1.43722781406658"/>
    <n v="2.53424518362884"/>
  </r>
  <r>
    <x v="72"/>
    <x v="0"/>
    <x v="5"/>
    <n v="1.9336186045819701"/>
    <n v="1.4471519321742801"/>
    <n v="2.5836132508685701"/>
  </r>
  <r>
    <x v="73"/>
    <x v="0"/>
    <x v="5"/>
    <n v="1.91747758812272"/>
    <n v="1.4153357423077499"/>
    <n v="2.59777252212813"/>
  </r>
  <r>
    <x v="74"/>
    <x v="0"/>
    <x v="5"/>
    <n v="1.84806472488963"/>
    <n v="1.3460260365557599"/>
    <n v="2.5373530189064102"/>
  </r>
  <r>
    <x v="75"/>
    <x v="0"/>
    <x v="5"/>
    <n v="1.85664467163311"/>
    <n v="1.3475106871189699"/>
    <n v="2.5581462690093599"/>
  </r>
  <r>
    <x v="76"/>
    <x v="0"/>
    <x v="5"/>
    <n v="1.8438608912308601"/>
    <n v="1.33317008375832"/>
    <n v="2.55017947644478"/>
  </r>
  <r>
    <x v="77"/>
    <x v="0"/>
    <x v="5"/>
    <n v="1.84283251402517"/>
    <n v="1.3223638090734899"/>
    <n v="2.5681523128856201"/>
  </r>
  <r>
    <x v="78"/>
    <x v="0"/>
    <x v="5"/>
    <n v="1.8836463148652101"/>
    <n v="1.3516748854529801"/>
    <n v="2.62498288433925"/>
  </r>
  <r>
    <x v="79"/>
    <x v="0"/>
    <x v="5"/>
    <n v="1.91721302929057"/>
    <n v="1.37141372179944"/>
    <n v="2.6802311667544299"/>
  </r>
  <r>
    <x v="80"/>
    <x v="0"/>
    <x v="5"/>
    <n v="1.9331239621326499"/>
    <n v="1.3787830529145799"/>
    <n v="2.7103381094450998"/>
  </r>
  <r>
    <x v="81"/>
    <x v="0"/>
    <x v="5"/>
    <n v="1.9215496043897"/>
    <n v="1.35562049206909"/>
    <n v="2.7237364024311601"/>
  </r>
  <r>
    <x v="82"/>
    <x v="0"/>
    <x v="5"/>
    <n v="1.8961808872766901"/>
    <n v="1.32160077920579"/>
    <n v="2.7205658575913501"/>
  </r>
  <r>
    <x v="83"/>
    <x v="0"/>
    <x v="5"/>
    <n v="1.81442429534036"/>
    <n v="1.25213890674579"/>
    <n v="2.62920951164863"/>
  </r>
  <r>
    <x v="6"/>
    <x v="2"/>
    <x v="4"/>
    <n v="9.6466622268345308"/>
    <n v="9.6466622268345308"/>
    <n v="9.6466622268345308"/>
  </r>
  <r>
    <x v="7"/>
    <x v="2"/>
    <x v="4"/>
    <n v="9.6449302321930208"/>
    <n v="9.6449302321930208"/>
    <n v="9.6449302321930208"/>
  </r>
  <r>
    <x v="8"/>
    <x v="2"/>
    <x v="4"/>
    <n v="9.1851371069322898"/>
    <n v="9.1851371069322898"/>
    <n v="9.1851371069322898"/>
  </r>
  <r>
    <x v="9"/>
    <x v="2"/>
    <x v="4"/>
    <n v="9.2019603228204101"/>
    <n v="9.2019603228204101"/>
    <n v="9.2019603228204101"/>
  </r>
  <r>
    <x v="10"/>
    <x v="2"/>
    <x v="4"/>
    <n v="8.8969958323921308"/>
    <n v="8.8969958323921308"/>
    <n v="8.8969958323921308"/>
  </r>
  <r>
    <x v="11"/>
    <x v="2"/>
    <x v="4"/>
    <n v="8.7503118548719403"/>
    <n v="8.7503118548719403"/>
    <n v="8.7503118548719403"/>
  </r>
  <r>
    <x v="12"/>
    <x v="2"/>
    <x v="4"/>
    <n v="8.5104894252019108"/>
    <n v="8.5104894252019108"/>
    <n v="8.5104894252019108"/>
  </r>
  <r>
    <x v="13"/>
    <x v="2"/>
    <x v="4"/>
    <n v="8.4672283387145306"/>
    <n v="8.4672283387145306"/>
    <n v="8.4672283387145306"/>
  </r>
  <r>
    <x v="14"/>
    <x v="2"/>
    <x v="4"/>
    <n v="7.8566452640301101"/>
    <n v="7.8566452640301101"/>
    <n v="7.8566452640301101"/>
  </r>
  <r>
    <x v="15"/>
    <x v="2"/>
    <x v="4"/>
    <n v="7.8772370246990304"/>
    <n v="7.8772370246990304"/>
    <n v="7.8772370246990304"/>
  </r>
  <r>
    <x v="16"/>
    <x v="2"/>
    <x v="4"/>
    <n v="7.7855361850577802"/>
    <n v="7.7855361850577802"/>
    <n v="7.7855361850577802"/>
  </r>
  <r>
    <x v="17"/>
    <x v="2"/>
    <x v="4"/>
    <n v="7.5136976942755496"/>
    <n v="7.5136976942755496"/>
    <n v="7.5136976942755496"/>
  </r>
  <r>
    <x v="18"/>
    <x v="2"/>
    <x v="4"/>
    <n v="7.3454746971575098"/>
    <n v="7.3454746971575098"/>
    <n v="7.3454746971575098"/>
  </r>
  <r>
    <x v="19"/>
    <x v="2"/>
    <x v="4"/>
    <n v="7.3359026470205002"/>
    <n v="7.3359026470205002"/>
    <n v="7.3359026470205002"/>
  </r>
  <r>
    <x v="20"/>
    <x v="2"/>
    <x v="4"/>
    <n v="7.4068143931673696"/>
    <n v="7.4068143931673696"/>
    <n v="7.4068143931673696"/>
  </r>
  <r>
    <x v="21"/>
    <x v="2"/>
    <x v="4"/>
    <n v="7.4170734440895103"/>
    <n v="7.4170734440895103"/>
    <n v="7.4170734440895103"/>
  </r>
  <r>
    <x v="22"/>
    <x v="2"/>
    <x v="4"/>
    <n v="7.3410568415817403"/>
    <n v="7.3410568415817403"/>
    <n v="7.3410568415817403"/>
  </r>
  <r>
    <x v="23"/>
    <x v="2"/>
    <x v="4"/>
    <n v="6.9740555459598097"/>
    <n v="6.9740555459598097"/>
    <n v="6.9740555459598097"/>
  </r>
  <r>
    <x v="24"/>
    <x v="2"/>
    <x v="4"/>
    <n v="6.9505884237225501"/>
    <n v="6.9505884237225501"/>
    <n v="6.9505884237225501"/>
  </r>
  <r>
    <x v="25"/>
    <x v="2"/>
    <x v="4"/>
    <n v="7.0316936198236597"/>
    <n v="7.0316936198236597"/>
    <n v="7.0316936198236597"/>
  </r>
  <r>
    <x v="26"/>
    <x v="2"/>
    <x v="4"/>
    <n v="7.1882209267736101"/>
    <n v="7.1882209267736101"/>
    <n v="7.1882209267736101"/>
  </r>
  <r>
    <x v="27"/>
    <x v="2"/>
    <x v="4"/>
    <n v="7.9291433250201804"/>
    <n v="7.9291433250201804"/>
    <n v="7.9291433250201804"/>
  </r>
  <r>
    <x v="28"/>
    <x v="2"/>
    <x v="4"/>
    <n v="7.8895362252284302"/>
    <n v="7.8895362252284302"/>
    <n v="7.8895362252284302"/>
  </r>
  <r>
    <x v="29"/>
    <x v="2"/>
    <x v="4"/>
    <n v="7.8240840835208996"/>
    <n v="7.8240840835208996"/>
    <n v="7.8240840835208996"/>
  </r>
  <r>
    <x v="30"/>
    <x v="2"/>
    <x v="4"/>
    <n v="8.0105609514893192"/>
    <n v="8.0105609514893192"/>
    <n v="8.0105609514893192"/>
  </r>
  <r>
    <x v="31"/>
    <x v="2"/>
    <x v="4"/>
    <n v="8.12881019921217"/>
    <n v="8.12881019921217"/>
    <n v="8.12881019921217"/>
  </r>
  <r>
    <x v="32"/>
    <x v="2"/>
    <x v="4"/>
    <n v="8.2634557547153396"/>
    <n v="8.2634557547153396"/>
    <n v="8.2634557547153396"/>
  </r>
  <r>
    <x v="33"/>
    <x v="2"/>
    <x v="4"/>
    <n v="8.5109717635810807"/>
    <n v="8.5109717635810807"/>
    <n v="8.5109717635810807"/>
  </r>
  <r>
    <x v="34"/>
    <x v="2"/>
    <x v="4"/>
    <n v="8.3562862591463993"/>
    <n v="8.3562862591463993"/>
    <n v="8.3562862591463993"/>
  </r>
  <r>
    <x v="35"/>
    <x v="2"/>
    <x v="4"/>
    <n v="8.2539040388072795"/>
    <n v="8.2539040388072795"/>
    <n v="8.2539040388072795"/>
  </r>
  <r>
    <x v="36"/>
    <x v="2"/>
    <x v="4"/>
    <n v="8.2345542666259899"/>
    <n v="8.2345542666259899"/>
    <n v="8.2345542666259899"/>
  </r>
  <r>
    <x v="37"/>
    <x v="2"/>
    <x v="4"/>
    <n v="8.3813057034484402"/>
    <n v="8.3813057034484402"/>
    <n v="8.3813057034484402"/>
  </r>
  <r>
    <x v="38"/>
    <x v="2"/>
    <x v="4"/>
    <n v="8.3354572066193207"/>
    <n v="8.3354572066193207"/>
    <n v="8.3354572066193207"/>
  </r>
  <r>
    <x v="39"/>
    <x v="2"/>
    <x v="4"/>
    <n v="8.5118480431071593"/>
    <n v="8.5118480431071593"/>
    <n v="8.5118480431071593"/>
  </r>
  <r>
    <x v="40"/>
    <x v="2"/>
    <x v="4"/>
    <n v="8.6161158233767008"/>
    <n v="8.6161158233767008"/>
    <n v="8.6161158233767008"/>
  </r>
  <r>
    <x v="41"/>
    <x v="2"/>
    <x v="4"/>
    <n v="8.8379238967645097"/>
    <n v="8.8379238967645097"/>
    <n v="8.8379238967645097"/>
  </r>
  <r>
    <x v="42"/>
    <x v="2"/>
    <x v="4"/>
    <n v="8.9139136704378306"/>
    <n v="8.9139136704378306"/>
    <n v="8.9139136704378306"/>
  </r>
  <r>
    <x v="43"/>
    <x v="2"/>
    <x v="4"/>
    <n v="8.9212113437405094"/>
    <n v="8.9212113437405094"/>
    <n v="8.9212113437405094"/>
  </r>
  <r>
    <x v="44"/>
    <x v="2"/>
    <x v="4"/>
    <n v="8.9842638118496296"/>
    <n v="8.9842638118496296"/>
    <n v="8.9842638118496296"/>
  </r>
  <r>
    <x v="45"/>
    <x v="2"/>
    <x v="4"/>
    <n v="8.9938234159457302"/>
    <n v="8.9938234159457302"/>
    <n v="8.9938234159457302"/>
  </r>
  <r>
    <x v="46"/>
    <x v="2"/>
    <x v="4"/>
    <n v="8.7898395689625595"/>
    <n v="8.7898395689625595"/>
    <n v="8.7898395689625595"/>
  </r>
  <r>
    <x v="47"/>
    <x v="2"/>
    <x v="4"/>
    <n v="8.6554776561914402"/>
    <n v="8.6554776561914402"/>
    <n v="8.6554776561914402"/>
  </r>
  <r>
    <x v="48"/>
    <x v="2"/>
    <x v="4"/>
    <n v="8.5647639120112107"/>
    <n v="8.5647639120112107"/>
    <n v="8.5647639120112107"/>
  </r>
  <r>
    <x v="49"/>
    <x v="2"/>
    <x v="4"/>
    <n v="8.5754788326424691"/>
    <n v="8.5754788326424691"/>
    <n v="8.5754788326424691"/>
  </r>
  <r>
    <x v="50"/>
    <x v="2"/>
    <x v="4"/>
    <n v="8.4694948060604798"/>
    <n v="8.4694948060604798"/>
    <n v="8.4694948060604798"/>
  </r>
  <r>
    <x v="51"/>
    <x v="2"/>
    <x v="4"/>
    <n v="8.3195078996824794"/>
    <n v="8.3195078996824794"/>
    <n v="8.3195078996824794"/>
  </r>
  <r>
    <x v="52"/>
    <x v="2"/>
    <x v="4"/>
    <n v="8.1928448532863598"/>
    <n v="8.1928448532863598"/>
    <n v="8.1928448532863598"/>
  </r>
  <r>
    <x v="53"/>
    <x v="2"/>
    <x v="4"/>
    <n v="7.9704261024786103"/>
    <n v="7.9704261024786103"/>
    <n v="7.9704261024786103"/>
  </r>
  <r>
    <x v="54"/>
    <x v="2"/>
    <x v="4"/>
    <n v="7.89794809080911"/>
    <n v="7.89794809080911"/>
    <n v="7.89794809080911"/>
  </r>
  <r>
    <x v="55"/>
    <x v="2"/>
    <x v="4"/>
    <n v="7.8087766300575998"/>
    <n v="7.8087766300575998"/>
    <n v="7.8087766300575998"/>
  </r>
  <r>
    <x v="56"/>
    <x v="2"/>
    <x v="4"/>
    <n v="7.8518256385687799"/>
    <n v="7.8518256385687799"/>
    <n v="7.8518256385687799"/>
  </r>
  <r>
    <x v="57"/>
    <x v="2"/>
    <x v="4"/>
    <n v="7.6954470239189403"/>
    <n v="7.5028777198823002"/>
    <n v="7.8929588231209804"/>
  </r>
  <r>
    <x v="58"/>
    <x v="2"/>
    <x v="4"/>
    <n v="7.3544463391368096"/>
    <n v="7.10363705575858"/>
    <n v="7.6141109871873898"/>
  </r>
  <r>
    <x v="59"/>
    <x v="2"/>
    <x v="4"/>
    <n v="7.0336927685082102"/>
    <n v="6.7206946798538096"/>
    <n v="7.3612678924496002"/>
  </r>
  <r>
    <x v="60"/>
    <x v="2"/>
    <x v="4"/>
    <n v="6.9896041192037597"/>
    <n v="6.6260467783883303"/>
    <n v="7.3731090916133297"/>
  </r>
  <r>
    <x v="61"/>
    <x v="2"/>
    <x v="4"/>
    <n v="6.8646391008549097"/>
    <n v="6.4375163070282202"/>
    <n v="7.3201010665462496"/>
  </r>
  <r>
    <x v="62"/>
    <x v="2"/>
    <x v="4"/>
    <n v="6.7238078630164004"/>
    <n v="6.2376524675816301"/>
    <n v="7.2478536458587204"/>
  </r>
  <r>
    <x v="63"/>
    <x v="2"/>
    <x v="4"/>
    <n v="6.7860448996000402"/>
    <n v="6.2327956899295502"/>
    <n v="7.3884028404448197"/>
  </r>
  <r>
    <x v="64"/>
    <x v="2"/>
    <x v="4"/>
    <n v="6.7626751141982098"/>
    <n v="6.1447798185077298"/>
    <n v="7.4427035713221503"/>
  </r>
  <r>
    <x v="65"/>
    <x v="2"/>
    <x v="4"/>
    <n v="6.6080181303421899"/>
    <n v="5.9370463795015498"/>
    <n v="7.3548193528845403"/>
  </r>
  <r>
    <x v="66"/>
    <x v="2"/>
    <x v="4"/>
    <n v="6.597447060496"/>
    <n v="5.8622640762686302"/>
    <n v="7.4248288971233203"/>
  </r>
  <r>
    <x v="67"/>
    <x v="2"/>
    <x v="4"/>
    <n v="6.5494869163943497"/>
    <n v="5.7528306100754598"/>
    <n v="7.4564647867249096"/>
  </r>
  <r>
    <x v="68"/>
    <x v="2"/>
    <x v="4"/>
    <n v="6.5620479149888196"/>
    <n v="5.6987182122685196"/>
    <n v="7.5561681126654303"/>
  </r>
  <r>
    <x v="69"/>
    <x v="2"/>
    <x v="4"/>
    <n v="6.4400126079801998"/>
    <n v="5.50576747794958"/>
    <n v="7.5327849490638599"/>
  </r>
  <r>
    <x v="70"/>
    <x v="2"/>
    <x v="4"/>
    <n v="6.1632398204475596"/>
    <n v="5.1939892616365304"/>
    <n v="7.3133622675958296"/>
  </r>
  <r>
    <x v="71"/>
    <x v="2"/>
    <x v="4"/>
    <n v="5.9023722012559299"/>
    <n v="4.8969804234729004"/>
    <n v="7.1141794717349303"/>
  </r>
  <r>
    <x v="72"/>
    <x v="2"/>
    <x v="4"/>
    <n v="5.8668816612718198"/>
    <n v="4.7991413555567997"/>
    <n v="7.1721789122783699"/>
  </r>
  <r>
    <x v="73"/>
    <x v="2"/>
    <x v="4"/>
    <n v="5.76312014316684"/>
    <n v="4.6412629439108404"/>
    <n v="7.1561456840427997"/>
  </r>
  <r>
    <x v="74"/>
    <x v="2"/>
    <x v="4"/>
    <n v="5.6460642959090501"/>
    <n v="4.4761744737318496"/>
    <n v="7.1217157017925299"/>
  </r>
  <r>
    <x v="75"/>
    <x v="2"/>
    <x v="4"/>
    <n v="5.6978268676985797"/>
    <n v="4.4484553723252098"/>
    <n v="7.2980907521835396"/>
  </r>
  <r>
    <x v="76"/>
    <x v="2"/>
    <x v="4"/>
    <n v="5.6773684232354"/>
    <n v="4.3631303507384098"/>
    <n v="7.3874740431936496"/>
  </r>
  <r>
    <x v="77"/>
    <x v="2"/>
    <x v="4"/>
    <n v="5.5470460981656604"/>
    <n v="4.1951113718273998"/>
    <n v="7.3346611538876596"/>
  </r>
  <r>
    <x v="78"/>
    <x v="2"/>
    <x v="4"/>
    <n v="5.5306474899667997"/>
    <n v="4.1166772769557003"/>
    <n v="7.4302792277407104"/>
  </r>
  <r>
    <x v="79"/>
    <x v="2"/>
    <x v="4"/>
    <n v="5.4830997555065197"/>
    <n v="4.0156447408504201"/>
    <n v="7.4868134182778103"/>
  </r>
  <r>
    <x v="80"/>
    <x v="2"/>
    <x v="4"/>
    <n v="5.4859359361999802"/>
    <n v="3.9539764463828599"/>
    <n v="7.6114497656206597"/>
  </r>
  <r>
    <x v="81"/>
    <x v="2"/>
    <x v="4"/>
    <n v="5.37796326097261"/>
    <n v="3.8019393319616999"/>
    <n v="7.6072988838167301"/>
  </r>
  <r>
    <x v="82"/>
    <x v="2"/>
    <x v="4"/>
    <n v="5.1415803526575496"/>
    <n v="3.5685692663834598"/>
    <n v="7.4079684460280397"/>
  </r>
  <r>
    <x v="83"/>
    <x v="2"/>
    <x v="4"/>
    <n v="4.91881251483104"/>
    <n v="3.3484877953705499"/>
    <n v="7.2255651012104298"/>
  </r>
  <r>
    <x v="6"/>
    <x v="2"/>
    <x v="5"/>
    <n v="9.6466622268345308"/>
    <n v="9.4089038642896696"/>
    <n v="9.8904286259982594"/>
  </r>
  <r>
    <x v="7"/>
    <x v="2"/>
    <x v="5"/>
    <n v="9.6449302321930208"/>
    <n v="9.4226232151000495"/>
    <n v="9.8724821167417396"/>
  </r>
  <r>
    <x v="8"/>
    <x v="2"/>
    <x v="5"/>
    <n v="9.1851371069322898"/>
    <n v="8.9733697394368708"/>
    <n v="9.4019020861653395"/>
  </r>
  <r>
    <x v="9"/>
    <x v="2"/>
    <x v="5"/>
    <n v="9.2019603228204101"/>
    <n v="8.9900461685340094"/>
    <n v="9.4188697360793601"/>
  </r>
  <r>
    <x v="10"/>
    <x v="2"/>
    <x v="5"/>
    <n v="8.8969958323921308"/>
    <n v="8.69128061133698"/>
    <n v="9.1075801577906201"/>
  </r>
  <r>
    <x v="11"/>
    <x v="2"/>
    <x v="5"/>
    <n v="8.7503118548719403"/>
    <n v="8.5489587328575993"/>
    <n v="8.95640743512147"/>
  </r>
  <r>
    <x v="12"/>
    <x v="2"/>
    <x v="5"/>
    <n v="8.5104894252019108"/>
    <n v="8.3122187889729897"/>
    <n v="8.7134893937774205"/>
  </r>
  <r>
    <x v="13"/>
    <x v="2"/>
    <x v="5"/>
    <n v="8.4672283387145306"/>
    <n v="8.2723733350442696"/>
    <n v="8.6666731343244905"/>
  </r>
  <r>
    <x v="14"/>
    <x v="2"/>
    <x v="5"/>
    <n v="7.8566452640301101"/>
    <n v="7.6753606119961999"/>
    <n v="8.0422116855761505"/>
  </r>
  <r>
    <x v="15"/>
    <x v="2"/>
    <x v="5"/>
    <n v="7.8772370246990304"/>
    <n v="7.6960052947647997"/>
    <n v="8.0627365453476596"/>
  </r>
  <r>
    <x v="16"/>
    <x v="2"/>
    <x v="5"/>
    <n v="7.7855361850577802"/>
    <n v="7.6041447463542404"/>
    <n v="7.9712545869021296"/>
  </r>
  <r>
    <x v="17"/>
    <x v="2"/>
    <x v="5"/>
    <n v="7.5136976942755496"/>
    <n v="7.3413276436068697"/>
    <n v="7.6901148922464504"/>
  </r>
  <r>
    <x v="18"/>
    <x v="2"/>
    <x v="5"/>
    <n v="7.3454746971575098"/>
    <n v="7.1766404737877902"/>
    <n v="7.5182808339991301"/>
  </r>
  <r>
    <x v="19"/>
    <x v="2"/>
    <x v="5"/>
    <n v="7.3359026470205002"/>
    <n v="7.1706711346554499"/>
    <n v="7.5049415369887997"/>
  </r>
  <r>
    <x v="20"/>
    <x v="2"/>
    <x v="5"/>
    <n v="7.4068143931673696"/>
    <n v="7.2363102168200601"/>
    <n v="7.58133604157997"/>
  </r>
  <r>
    <x v="21"/>
    <x v="2"/>
    <x v="5"/>
    <n v="7.4170734440895103"/>
    <n v="7.2456093666144099"/>
    <n v="7.5925951416179096"/>
  </r>
  <r>
    <x v="22"/>
    <x v="2"/>
    <x v="5"/>
    <n v="7.3410568415817403"/>
    <n v="7.1694493851455796"/>
    <n v="7.5167718825090599"/>
  </r>
  <r>
    <x v="23"/>
    <x v="2"/>
    <x v="5"/>
    <n v="6.9740555459598097"/>
    <n v="6.8169104686363804"/>
    <n v="7.1348231698078797"/>
  </r>
  <r>
    <x v="24"/>
    <x v="2"/>
    <x v="5"/>
    <n v="6.9505884237225501"/>
    <n v="6.7929079598435704"/>
    <n v="7.1119290474088004"/>
  </r>
  <r>
    <x v="25"/>
    <x v="2"/>
    <x v="5"/>
    <n v="7.0316936198236597"/>
    <n v="6.8684929279071403"/>
    <n v="7.1987720861110001"/>
  </r>
  <r>
    <x v="26"/>
    <x v="2"/>
    <x v="5"/>
    <n v="7.1882209267736101"/>
    <n v="7.0236391715206601"/>
    <n v="7.3566592517478604"/>
  </r>
  <r>
    <x v="27"/>
    <x v="2"/>
    <x v="5"/>
    <n v="7.9291433250201804"/>
    <n v="7.7484512412936999"/>
    <n v="8.1140491061817492"/>
  </r>
  <r>
    <x v="28"/>
    <x v="2"/>
    <x v="5"/>
    <n v="7.8895362252284302"/>
    <n v="7.7103708449177297"/>
    <n v="8.0728648596999797"/>
  </r>
  <r>
    <x v="29"/>
    <x v="2"/>
    <x v="5"/>
    <n v="7.8240840835208996"/>
    <n v="7.6475720650981804"/>
    <n v="8.0046701390867092"/>
  </r>
  <r>
    <x v="30"/>
    <x v="2"/>
    <x v="5"/>
    <n v="8.0105609514893192"/>
    <n v="7.8305387113749898"/>
    <n v="8.1947218604909704"/>
  </r>
  <r>
    <x v="31"/>
    <x v="2"/>
    <x v="5"/>
    <n v="8.12881019921217"/>
    <n v="7.9474803945548196"/>
    <n v="8.3142772267910807"/>
  </r>
  <r>
    <x v="32"/>
    <x v="2"/>
    <x v="5"/>
    <n v="8.2634557547153396"/>
    <n v="8.0756512018065099"/>
    <n v="8.4556278253898594"/>
  </r>
  <r>
    <x v="33"/>
    <x v="2"/>
    <x v="5"/>
    <n v="8.5109717635810807"/>
    <n v="8.3157590942906694"/>
    <n v="8.7107670555544505"/>
  </r>
  <r>
    <x v="34"/>
    <x v="2"/>
    <x v="5"/>
    <n v="8.3562862591463993"/>
    <n v="8.1627191821122302"/>
    <n v="8.5544434993940399"/>
  </r>
  <r>
    <x v="35"/>
    <x v="2"/>
    <x v="5"/>
    <n v="8.2539040388072795"/>
    <n v="8.0678297316693506"/>
    <n v="8.4442699149208096"/>
  </r>
  <r>
    <x v="36"/>
    <x v="2"/>
    <x v="5"/>
    <n v="8.2345542666259899"/>
    <n v="8.0451992567664004"/>
    <n v="8.4283660113176904"/>
  </r>
  <r>
    <x v="37"/>
    <x v="2"/>
    <x v="5"/>
    <n v="8.3813057034484402"/>
    <n v="8.1892179101142499"/>
    <n v="8.5778991432012397"/>
  </r>
  <r>
    <x v="38"/>
    <x v="2"/>
    <x v="5"/>
    <n v="8.3354572066193207"/>
    <n v="8.1449044808073996"/>
    <n v="8.5304679762793807"/>
  </r>
  <r>
    <x v="39"/>
    <x v="2"/>
    <x v="5"/>
    <n v="8.5118480431071593"/>
    <n v="8.3189800175555195"/>
    <n v="8.7091875393441107"/>
  </r>
  <r>
    <x v="40"/>
    <x v="2"/>
    <x v="5"/>
    <n v="8.6161158233767008"/>
    <n v="8.4199518366322508"/>
    <n v="8.8168499443026906"/>
  </r>
  <r>
    <x v="41"/>
    <x v="2"/>
    <x v="5"/>
    <n v="8.8379238967645097"/>
    <n v="8.6375366273626106"/>
    <n v="9.04296006775383"/>
  </r>
  <r>
    <x v="42"/>
    <x v="2"/>
    <x v="5"/>
    <n v="8.9139136704378306"/>
    <n v="8.7134714023426607"/>
    <n v="9.1189668566142092"/>
  </r>
  <r>
    <x v="43"/>
    <x v="2"/>
    <x v="5"/>
    <n v="8.9212113437405094"/>
    <n v="8.7215644683178901"/>
    <n v="9.1254283711135908"/>
  </r>
  <r>
    <x v="44"/>
    <x v="2"/>
    <x v="5"/>
    <n v="8.9842638118496296"/>
    <n v="8.7806395369771408"/>
    <n v="9.1926101625051899"/>
  </r>
  <r>
    <x v="45"/>
    <x v="2"/>
    <x v="5"/>
    <n v="8.9938234159457302"/>
    <n v="8.7874432088098295"/>
    <n v="9.2050506290747691"/>
  </r>
  <r>
    <x v="46"/>
    <x v="2"/>
    <x v="5"/>
    <n v="8.7898395689625595"/>
    <n v="8.5861986332226508"/>
    <n v="8.9983103056982898"/>
  </r>
  <r>
    <x v="47"/>
    <x v="2"/>
    <x v="5"/>
    <n v="8.6554776561914402"/>
    <n v="8.4561528296693496"/>
    <n v="8.8595008824785708"/>
  </r>
  <r>
    <x v="48"/>
    <x v="2"/>
    <x v="5"/>
    <n v="8.5647639120112107"/>
    <n v="8.3680672344893701"/>
    <n v="8.7660840685114199"/>
  </r>
  <r>
    <x v="49"/>
    <x v="2"/>
    <x v="5"/>
    <n v="8.5754788326424691"/>
    <n v="8.37738370838413"/>
    <n v="8.77825819718643"/>
  </r>
  <r>
    <x v="50"/>
    <x v="2"/>
    <x v="5"/>
    <n v="8.4694948060604798"/>
    <n v="8.2723084254187906"/>
    <n v="8.6713815033140396"/>
  </r>
  <r>
    <x v="51"/>
    <x v="2"/>
    <x v="5"/>
    <n v="8.3195078996824794"/>
    <n v="8.1285059299998501"/>
    <n v="8.5149979945798595"/>
  </r>
  <r>
    <x v="52"/>
    <x v="2"/>
    <x v="5"/>
    <n v="8.1928448532863598"/>
    <n v="8.0039591095453808"/>
    <n v="8.3861881190736494"/>
  </r>
  <r>
    <x v="53"/>
    <x v="2"/>
    <x v="5"/>
    <n v="7.9704261024786103"/>
    <n v="7.78629120511384"/>
    <n v="8.1589155326413998"/>
  </r>
  <r>
    <x v="54"/>
    <x v="2"/>
    <x v="5"/>
    <n v="7.89794809080911"/>
    <n v="7.7169670304176998"/>
    <n v="8.0831735835132807"/>
  </r>
  <r>
    <x v="55"/>
    <x v="2"/>
    <x v="5"/>
    <n v="7.8087766300575998"/>
    <n v="7.6288055217017199"/>
    <n v="7.9929934358232"/>
  </r>
  <r>
    <x v="56"/>
    <x v="2"/>
    <x v="5"/>
    <n v="7.8518256385687799"/>
    <n v="7.6588068996480896"/>
    <n v="8.0497088732343904"/>
  </r>
  <r>
    <x v="57"/>
    <x v="2"/>
    <x v="5"/>
    <n v="7.6236633486943299"/>
    <n v="7.42355845432082"/>
    <n v="7.8291621480257696"/>
  </r>
  <r>
    <x v="58"/>
    <x v="2"/>
    <x v="5"/>
    <n v="7.2196388919676799"/>
    <n v="6.9440193390484204"/>
    <n v="7.5061982384333303"/>
  </r>
  <r>
    <x v="59"/>
    <x v="2"/>
    <x v="5"/>
    <n v="6.8447419261012996"/>
    <n v="6.5087371157862997"/>
    <n v="7.1980925333883299"/>
  </r>
  <r>
    <x v="60"/>
    <x v="2"/>
    <x v="5"/>
    <n v="6.7312152332181396"/>
    <n v="6.3448018720028703"/>
    <n v="7.1411620772336599"/>
  </r>
  <r>
    <x v="61"/>
    <x v="2"/>
    <x v="5"/>
    <n v="6.5410597003386597"/>
    <n v="6.0881134845366702"/>
    <n v="7.02770441320882"/>
  </r>
  <r>
    <x v="62"/>
    <x v="2"/>
    <x v="5"/>
    <n v="6.3484778129868698"/>
    <n v="5.8398840417751003"/>
    <n v="6.9013648650694703"/>
  </r>
  <r>
    <x v="63"/>
    <x v="2"/>
    <x v="5"/>
    <n v="6.3531980614484898"/>
    <n v="5.78760501023873"/>
    <n v="6.9740636302213703"/>
  </r>
  <r>
    <x v="64"/>
    <x v="2"/>
    <x v="5"/>
    <n v="6.2811222515307303"/>
    <n v="5.6669903208890604"/>
    <n v="6.9618076800394002"/>
  </r>
  <r>
    <x v="65"/>
    <x v="2"/>
    <x v="5"/>
    <n v="6.0853479447271503"/>
    <n v="5.42528543600665"/>
    <n v="6.8257163692482896"/>
  </r>
  <r>
    <x v="66"/>
    <x v="2"/>
    <x v="5"/>
    <n v="6.0326230772590304"/>
    <n v="5.3237086060927998"/>
    <n v="6.8359378555445698"/>
  </r>
  <r>
    <x v="67"/>
    <x v="2"/>
    <x v="5"/>
    <n v="5.9430282859863297"/>
    <n v="5.18488707849765"/>
    <n v="6.8120259271427797"/>
  </r>
  <r>
    <x v="68"/>
    <x v="2"/>
    <x v="5"/>
    <n v="5.9098573046923697"/>
    <n v="5.0983171799495199"/>
    <n v="6.85057679408082"/>
  </r>
  <r>
    <x v="69"/>
    <x v="2"/>
    <x v="5"/>
    <n v="5.74951774717593"/>
    <n v="4.8784106150835003"/>
    <n v="6.7761730066105201"/>
  </r>
  <r>
    <x v="70"/>
    <x v="2"/>
    <x v="5"/>
    <n v="5.4548948498527503"/>
    <n v="4.5558440982943802"/>
    <n v="6.5313643708945301"/>
  </r>
  <r>
    <x v="71"/>
    <x v="2"/>
    <x v="5"/>
    <n v="5.1809017650486702"/>
    <n v="4.2598752537855802"/>
    <n v="6.3010631767282996"/>
  </r>
  <r>
    <x v="72"/>
    <x v="2"/>
    <x v="5"/>
    <n v="5.1270383656103897"/>
    <n v="4.1622992794072298"/>
    <n v="6.3153849922546703"/>
  </r>
  <r>
    <x v="73"/>
    <x v="2"/>
    <x v="5"/>
    <n v="5.0135576467087297"/>
    <n v="4.0059067909562502"/>
    <n v="6.2746742719072204"/>
  </r>
  <r>
    <x v="74"/>
    <x v="2"/>
    <x v="5"/>
    <n v="4.8936017742167497"/>
    <n v="3.8499201555193601"/>
    <n v="6.2202168765203201"/>
  </r>
  <r>
    <x v="75"/>
    <x v="2"/>
    <x v="5"/>
    <n v="4.9630669992753802"/>
    <n v="3.8518614959808302"/>
    <n v="6.3948389798019099"/>
  </r>
  <r>
    <x v="76"/>
    <x v="2"/>
    <x v="5"/>
    <n v="4.9705753132314001"/>
    <n v="3.80412327638708"/>
    <n v="6.4946946114665103"/>
  </r>
  <r>
    <x v="77"/>
    <x v="2"/>
    <x v="5"/>
    <n v="4.8803790241645499"/>
    <n v="3.6785462360009502"/>
    <n v="6.4748674860747801"/>
  </r>
  <r>
    <x v="78"/>
    <x v="2"/>
    <x v="5"/>
    <n v="4.9241587456776896"/>
    <n v="3.65984158208822"/>
    <n v="6.6252428715231799"/>
  </r>
  <r>
    <x v="79"/>
    <x v="2"/>
    <x v="5"/>
    <n v="4.9402238296455296"/>
    <n v="3.6176568599500598"/>
    <n v="6.7463035970013099"/>
  </r>
  <r>
    <x v="80"/>
    <x v="2"/>
    <x v="5"/>
    <n v="5.0029803655501999"/>
    <n v="3.6097737227271498"/>
    <n v="6.9339006986762302"/>
  </r>
  <r>
    <x v="81"/>
    <x v="2"/>
    <x v="5"/>
    <n v="4.9666530794623904"/>
    <n v="3.5174248646364799"/>
    <n v="7.0129835777693597"/>
  </r>
  <r>
    <x v="82"/>
    <x v="2"/>
    <x v="5"/>
    <n v="4.8116284052275402"/>
    <n v="3.3477558700444998"/>
    <n v="6.9156081891015502"/>
  </r>
  <r>
    <x v="83"/>
    <x v="2"/>
    <x v="5"/>
    <n v="4.6632817677447704"/>
    <n v="3.18575700941703"/>
    <n v="6.8260689001387904"/>
  </r>
  <r>
    <x v="0"/>
    <x v="1"/>
    <x v="4"/>
    <n v="1.9594747349999999"/>
    <n v="1.9594747349999999"/>
    <n v="1.9594747349999999"/>
  </r>
  <r>
    <x v="1"/>
    <x v="1"/>
    <x v="4"/>
    <n v="1.94170307933562"/>
    <n v="1.9411446410429301"/>
    <n v="1.9422616782826601"/>
  </r>
  <r>
    <x v="2"/>
    <x v="1"/>
    <x v="4"/>
    <n v="2.0251044969425598"/>
    <n v="2.0245220740310299"/>
    <n v="2.0256870874079298"/>
  </r>
  <r>
    <x v="3"/>
    <x v="1"/>
    <x v="4"/>
    <n v="2.05972213769715"/>
    <n v="2.05912975697338"/>
    <n v="2.0603146888399602"/>
  </r>
  <r>
    <x v="4"/>
    <x v="1"/>
    <x v="4"/>
    <n v="2.0573758829344402"/>
    <n v="2.0567841768916799"/>
    <n v="2.0579677592021901"/>
  </r>
  <r>
    <x v="5"/>
    <x v="1"/>
    <x v="4"/>
    <n v="2.15865152034781"/>
    <n v="2.1580306875106801"/>
    <n v="2.1592725317891599"/>
  </r>
  <r>
    <x v="6"/>
    <x v="1"/>
    <x v="4"/>
    <n v="2.21490300706997"/>
    <n v="2.2142659961239199"/>
    <n v="2.2155402012744698"/>
  </r>
  <r>
    <x v="7"/>
    <x v="1"/>
    <x v="4"/>
    <n v="2.1072149860043701"/>
    <n v="2.1066089463417499"/>
    <n v="2.1078212000154699"/>
  </r>
  <r>
    <x v="8"/>
    <x v="1"/>
    <x v="4"/>
    <n v="2.1103713109643798"/>
    <n v="2.1097643635310699"/>
    <n v="2.11097843300734"/>
  </r>
  <r>
    <x v="9"/>
    <x v="1"/>
    <x v="4"/>
    <n v="2.04138202794537"/>
    <n v="2.0407949218522701"/>
    <n v="2.0419693029401"/>
  </r>
  <r>
    <x v="10"/>
    <x v="1"/>
    <x v="4"/>
    <n v="1.9911692688049201"/>
    <n v="1.9905966038119201"/>
    <n v="1.99174209854511"/>
  </r>
  <r>
    <x v="11"/>
    <x v="1"/>
    <x v="4"/>
    <n v="1.9718791750031599"/>
    <n v="1.9713120577096199"/>
    <n v="1.9724464554479499"/>
  </r>
  <r>
    <x v="12"/>
    <x v="1"/>
    <x v="4"/>
    <n v="1.92963290555982"/>
    <n v="1.92907793809114"/>
    <n v="1.93018803268453"/>
  </r>
  <r>
    <x v="13"/>
    <x v="1"/>
    <x v="4"/>
    <n v="1.3140761947344399"/>
    <n v="1.31369826351484"/>
    <n v="1.3144542346791701"/>
  </r>
  <r>
    <x v="14"/>
    <x v="1"/>
    <x v="4"/>
    <n v="1.2989647913426301"/>
    <n v="1.2985912056309701"/>
    <n v="1.29933848452943"/>
  </r>
  <r>
    <x v="15"/>
    <x v="1"/>
    <x v="4"/>
    <n v="1.3107152868242899"/>
    <n v="1.31033831953229"/>
    <n v="1.3110923625648701"/>
  </r>
  <r>
    <x v="16"/>
    <x v="1"/>
    <x v="4"/>
    <n v="1.34852527763148"/>
    <n v="1.34813743852337"/>
    <n v="1.3489132283151299"/>
  </r>
  <r>
    <x v="17"/>
    <x v="1"/>
    <x v="4"/>
    <n v="1.24396309156829"/>
    <n v="1.24360532539928"/>
    <n v="1.2443209606611501"/>
  </r>
  <r>
    <x v="18"/>
    <x v="1"/>
    <x v="4"/>
    <n v="1.1588188185422901"/>
    <n v="1.1584855396960301"/>
    <n v="1.1591521932678699"/>
  </r>
  <r>
    <x v="19"/>
    <x v="1"/>
    <x v="4"/>
    <n v="1.13303917891429"/>
    <n v="1.13271331406288"/>
    <n v="1.13336513751219"/>
  </r>
  <r>
    <x v="20"/>
    <x v="1"/>
    <x v="4"/>
    <n v="1.15318354026068"/>
    <n v="1.1528518813975901"/>
    <n v="1.15351529453725"/>
  </r>
  <r>
    <x v="21"/>
    <x v="1"/>
    <x v="4"/>
    <n v="1.1393483046772499"/>
    <n v="1.1390206251166599"/>
    <n v="1.1396760785064399"/>
  </r>
  <r>
    <x v="22"/>
    <x v="1"/>
    <x v="4"/>
    <n v="1.1085671265177599"/>
    <n v="1.10824829978341"/>
    <n v="1.10888604497387"/>
  </r>
  <r>
    <x v="23"/>
    <x v="1"/>
    <x v="4"/>
    <n v="1.06523000619055"/>
    <n v="1.0649236435032901"/>
    <n v="1.06553645701379"/>
  </r>
  <r>
    <x v="24"/>
    <x v="1"/>
    <x v="4"/>
    <n v="1.0014662003444601"/>
    <n v="1.0011781760781"/>
    <n v="1.0017543074711699"/>
  </r>
  <r>
    <x v="25"/>
    <x v="1"/>
    <x v="4"/>
    <n v="1.0983071575813901"/>
    <n v="1.09799128153799"/>
    <n v="1.0986231244977001"/>
  </r>
  <r>
    <x v="26"/>
    <x v="1"/>
    <x v="4"/>
    <n v="1.03583476564215"/>
    <n v="1.03553685689705"/>
    <n v="1.03613276009122"/>
  </r>
  <r>
    <x v="27"/>
    <x v="1"/>
    <x v="4"/>
    <n v="0.96663037201167801"/>
    <n v="0.96635236664491697"/>
    <n v="0.966908457356495"/>
  </r>
  <r>
    <x v="28"/>
    <x v="1"/>
    <x v="4"/>
    <n v="0.97241689252568997"/>
    <n v="0.97213722300622196"/>
    <n v="0.97269664250194698"/>
  </r>
  <r>
    <x v="29"/>
    <x v="1"/>
    <x v="4"/>
    <n v="0.95913843156262801"/>
    <n v="0.95886258087730203"/>
    <n v="0.95941436160614701"/>
  </r>
  <r>
    <x v="30"/>
    <x v="1"/>
    <x v="4"/>
    <n v="1.0105787616079001"/>
    <n v="1.0102881165324999"/>
    <n v="1.0108694902976301"/>
  </r>
  <r>
    <x v="31"/>
    <x v="1"/>
    <x v="4"/>
    <n v="0.96639488288075803"/>
    <n v="0.96611694522286296"/>
    <n v="0.96667290049723498"/>
  </r>
  <r>
    <x v="32"/>
    <x v="1"/>
    <x v="4"/>
    <n v="0.95901393122219902"/>
    <n v="0.95873811631126205"/>
    <n v="0.95928982548104402"/>
  </r>
  <r>
    <x v="33"/>
    <x v="1"/>
    <x v="4"/>
    <n v="0.96486985198240305"/>
    <n v="0.96459235284392997"/>
    <n v="0.965147430953327"/>
  </r>
  <r>
    <x v="34"/>
    <x v="1"/>
    <x v="4"/>
    <n v="0.91580755812196402"/>
    <n v="0.91554416945305195"/>
    <n v="0.91607102256394402"/>
  </r>
  <r>
    <x v="35"/>
    <x v="1"/>
    <x v="4"/>
    <n v="0.90376983572012504"/>
    <n v="0.90350990914691798"/>
    <n v="0.90402983707040196"/>
  </r>
  <r>
    <x v="36"/>
    <x v="1"/>
    <x v="4"/>
    <n v="0.93155105841421304"/>
    <n v="0.93128314196592299"/>
    <n v="0.93181905193812098"/>
  </r>
  <r>
    <x v="37"/>
    <x v="1"/>
    <x v="4"/>
    <n v="0.94999963027615597"/>
    <n v="0.94972640797285801"/>
    <n v="0.95027293118148803"/>
  </r>
  <r>
    <x v="38"/>
    <x v="1"/>
    <x v="4"/>
    <n v="0.93799982218520395"/>
    <n v="0.93773005106515195"/>
    <n v="0.93826967091443303"/>
  </r>
  <r>
    <x v="39"/>
    <x v="1"/>
    <x v="4"/>
    <n v="1.0170072728241399"/>
    <n v="1.01671477898602"/>
    <n v="1.0172998508084199"/>
  </r>
  <r>
    <x v="40"/>
    <x v="1"/>
    <x v="4"/>
    <n v="0.96611865229223004"/>
    <n v="0.96584079414063895"/>
    <n v="0.96639659037951398"/>
  </r>
  <r>
    <x v="41"/>
    <x v="1"/>
    <x v="4"/>
    <n v="0.96424335048785303"/>
    <n v="0.96396603171278294"/>
    <n v="0.96452074904343499"/>
  </r>
  <r>
    <x v="42"/>
    <x v="1"/>
    <x v="4"/>
    <n v="0.97919178658784001"/>
    <n v="0.97891016852555301"/>
    <n v="0.97947348566750303"/>
  </r>
  <r>
    <x v="43"/>
    <x v="1"/>
    <x v="4"/>
    <n v="0.98497877552021695"/>
    <n v="0.98469549312022298"/>
    <n v="0.98526213941638896"/>
  </r>
  <r>
    <x v="44"/>
    <x v="1"/>
    <x v="4"/>
    <n v="0.95534665539723196"/>
    <n v="0.95507189525793101"/>
    <n v="0.955621494580984"/>
  </r>
  <r>
    <x v="45"/>
    <x v="1"/>
    <x v="4"/>
    <n v="0.98373226369720401"/>
    <n v="0.98344933968124504"/>
    <n v="0.98401526910627202"/>
  </r>
  <r>
    <x v="46"/>
    <x v="1"/>
    <x v="4"/>
    <n v="0.98275461127847497"/>
    <n v="0.98247196848322804"/>
    <n v="0.98303733538591398"/>
  </r>
  <r>
    <x v="47"/>
    <x v="1"/>
    <x v="4"/>
    <n v="0.93801628628538702"/>
    <n v="0.93774651033077605"/>
    <n v="0.93828613985059295"/>
  </r>
  <r>
    <x v="48"/>
    <x v="1"/>
    <x v="4"/>
    <n v="0.93263127577069305"/>
    <n v="0.93236304843726403"/>
    <n v="0.93289958026923803"/>
  </r>
  <r>
    <x v="49"/>
    <x v="1"/>
    <x v="4"/>
    <n v="0.96093377402177804"/>
    <n v="0.96065740695810198"/>
    <n v="0.96121022059220995"/>
  </r>
  <r>
    <x v="50"/>
    <x v="1"/>
    <x v="4"/>
    <n v="0.94608191879696502"/>
    <n v="0.94580982321692997"/>
    <n v="0.94635409265489701"/>
  </r>
  <r>
    <x v="51"/>
    <x v="1"/>
    <x v="4"/>
    <n v="0.98477066846108696"/>
    <n v="0.98448744597517202"/>
    <n v="0.98505397242592396"/>
  </r>
  <r>
    <x v="52"/>
    <x v="1"/>
    <x v="4"/>
    <n v="0.97013884673883799"/>
    <n v="0.96985983234638196"/>
    <n v="0.97041794139962501"/>
  </r>
  <r>
    <x v="53"/>
    <x v="1"/>
    <x v="4"/>
    <n v="0.96186532832527305"/>
    <n v="0.96158869339692299"/>
    <n v="0.96214204283742399"/>
  </r>
  <r>
    <x v="54"/>
    <x v="1"/>
    <x v="4"/>
    <n v="0.95610661288851495"/>
    <n v="0.95583163423152395"/>
    <n v="0.95638167065280899"/>
  </r>
  <r>
    <x v="55"/>
    <x v="1"/>
    <x v="4"/>
    <n v="0.95218424281117997"/>
    <n v="0.95191039224229401"/>
    <n v="0.95245817216283202"/>
  </r>
  <r>
    <x v="56"/>
    <x v="1"/>
    <x v="4"/>
    <n v="0.95306273139602504"/>
    <n v="0.95278862753561799"/>
    <n v="0.95333691411224997"/>
  </r>
  <r>
    <x v="57"/>
    <x v="1"/>
    <x v="4"/>
    <n v="0.94882739244879999"/>
    <n v="0.82496988292069995"/>
    <n v="1.09128034768237"/>
  </r>
  <r>
    <x v="58"/>
    <x v="1"/>
    <x v="4"/>
    <n v="0.89124539703449701"/>
    <n v="0.72927736986106195"/>
    <n v="1.0891855288016199"/>
  </r>
  <r>
    <x v="59"/>
    <x v="1"/>
    <x v="4"/>
    <n v="0.86488389636929597"/>
    <n v="0.67472438243342703"/>
    <n v="1.10863661322146"/>
  </r>
  <r>
    <x v="60"/>
    <x v="1"/>
    <x v="4"/>
    <n v="0.85027091627501294"/>
    <n v="0.63776332015244996"/>
    <n v="1.1335876620974901"/>
  </r>
  <r>
    <x v="61"/>
    <x v="1"/>
    <x v="4"/>
    <n v="0.79387806685372897"/>
    <n v="0.57140988337903798"/>
    <n v="1.1029602451124401"/>
  </r>
  <r>
    <x v="62"/>
    <x v="1"/>
    <x v="4"/>
    <n v="0.79144447690775099"/>
    <n v="0.54901939450475201"/>
    <n v="1.140914813388"/>
  </r>
  <r>
    <x v="63"/>
    <x v="1"/>
    <x v="4"/>
    <n v="0.80386083426140498"/>
    <n v="0.54226677344766006"/>
    <n v="1.1916500742817699"/>
  </r>
  <r>
    <x v="64"/>
    <x v="1"/>
    <x v="4"/>
    <n v="0.79160475621760595"/>
    <n v="0.51848263137237705"/>
    <n v="1.20859996487767"/>
  </r>
  <r>
    <x v="65"/>
    <x v="1"/>
    <x v="4"/>
    <n v="0.78847253039257303"/>
    <n v="0.504357970026033"/>
    <n v="1.23263429573955"/>
  </r>
  <r>
    <x v="66"/>
    <x v="1"/>
    <x v="4"/>
    <n v="0.79566211983284496"/>
    <n v="0.49558216586058501"/>
    <n v="1.27744348475"/>
  </r>
  <r>
    <x v="67"/>
    <x v="1"/>
    <x v="4"/>
    <n v="0.78115845852630805"/>
    <n v="0.47563766121631501"/>
    <n v="1.2829272933660301"/>
  </r>
  <r>
    <x v="68"/>
    <x v="1"/>
    <x v="4"/>
    <n v="0.76764195314127204"/>
    <n v="0.45639125780335599"/>
    <n v="1.2911600696708501"/>
  </r>
  <r>
    <x v="69"/>
    <x v="1"/>
    <x v="4"/>
    <n v="0.76297999205987099"/>
    <n v="0.43962574330385501"/>
    <n v="1.3241682889378199"/>
  </r>
  <r>
    <x v="70"/>
    <x v="1"/>
    <x v="4"/>
    <n v="0.71546475794465003"/>
    <n v="0.39950000030917499"/>
    <n v="1.28132620641963"/>
  </r>
  <r>
    <x v="71"/>
    <x v="1"/>
    <x v="4"/>
    <n v="0.69316636005500698"/>
    <n v="0.37429460101755102"/>
    <n v="1.28369365041784"/>
  </r>
  <r>
    <x v="72"/>
    <x v="1"/>
    <x v="4"/>
    <n v="0.680444802256437"/>
    <n v="0.35844743837276799"/>
    <n v="1.2916960183052"/>
  </r>
  <r>
    <x v="73"/>
    <x v="1"/>
    <x v="4"/>
    <n v="0.63437387576739002"/>
    <n v="0.32345140254832"/>
    <n v="1.2441752024742601"/>
  </r>
  <r>
    <x v="74"/>
    <x v="1"/>
    <x v="4"/>
    <n v="0.63158263416709004"/>
    <n v="0.31283937069488998"/>
    <n v="1.27508447193011"/>
  </r>
  <r>
    <x v="75"/>
    <x v="1"/>
    <x v="4"/>
    <n v="0.64019922836226895"/>
    <n v="0.31093975192203999"/>
    <n v="1.3181172541052399"/>
  </r>
  <r>
    <x v="76"/>
    <x v="1"/>
    <x v="4"/>
    <n v="0.62920977594158201"/>
    <n v="0.29862949680587503"/>
    <n v="1.3257395748746701"/>
  </r>
  <r>
    <x v="77"/>
    <x v="1"/>
    <x v="4"/>
    <n v="0.62545804572227603"/>
    <n v="0.29182016836814201"/>
    <n v="1.3405439697547501"/>
  </r>
  <r>
    <x v="78"/>
    <x v="1"/>
    <x v="4"/>
    <n v="0.63057792083575603"/>
    <n v="0.28828661297736302"/>
    <n v="1.37928192412031"/>
  </r>
  <r>
    <x v="79"/>
    <x v="1"/>
    <x v="4"/>
    <n v="0.61849229602599398"/>
    <n v="0.27816256648710103"/>
    <n v="1.37521279399486"/>
  </r>
  <r>
    <x v="80"/>
    <x v="1"/>
    <x v="4"/>
    <n v="0.60721002543097302"/>
    <n v="0.26800498038632797"/>
    <n v="1.3757356839130299"/>
  </r>
  <r>
    <x v="81"/>
    <x v="1"/>
    <x v="4"/>
    <n v="0.60222747208220595"/>
    <n v="0.25861459847162599"/>
    <n v="1.4023876852810999"/>
  </r>
  <r>
    <x v="82"/>
    <x v="1"/>
    <x v="4"/>
    <n v="0.56347123208533201"/>
    <n v="0.23505220247704101"/>
    <n v="1.35076304770544"/>
  </r>
  <r>
    <x v="83"/>
    <x v="1"/>
    <x v="4"/>
    <n v="0.54473861428647596"/>
    <n v="0.22027053259253401"/>
    <n v="1.34716230265659"/>
  </r>
  <r>
    <x v="0"/>
    <x v="1"/>
    <x v="5"/>
    <n v="1.9594747349999999"/>
    <n v="1.9594747349999999"/>
    <n v="1.9594747349999999"/>
  </r>
  <r>
    <x v="1"/>
    <x v="1"/>
    <x v="5"/>
    <n v="1.94170307933562"/>
    <n v="1.9411446410429301"/>
    <n v="1.9422616782826601"/>
  </r>
  <r>
    <x v="2"/>
    <x v="1"/>
    <x v="5"/>
    <n v="2.0251044969425598"/>
    <n v="2.0245220740310299"/>
    <n v="2.0256870874079298"/>
  </r>
  <r>
    <x v="3"/>
    <x v="1"/>
    <x v="5"/>
    <n v="2.05972213769715"/>
    <n v="2.05912975697338"/>
    <n v="2.0603146888399602"/>
  </r>
  <r>
    <x v="4"/>
    <x v="1"/>
    <x v="5"/>
    <n v="2.0573758829344402"/>
    <n v="2.0567841768916799"/>
    <n v="2.0579677592021901"/>
  </r>
  <r>
    <x v="5"/>
    <x v="1"/>
    <x v="5"/>
    <n v="2.15865152034781"/>
    <n v="2.1580306875106801"/>
    <n v="2.1592725317891599"/>
  </r>
  <r>
    <x v="6"/>
    <x v="1"/>
    <x v="5"/>
    <n v="2.21490300706997"/>
    <n v="2.2142659961239199"/>
    <n v="2.2155402012744698"/>
  </r>
  <r>
    <x v="7"/>
    <x v="1"/>
    <x v="5"/>
    <n v="2.1072149860043701"/>
    <n v="2.1066089463417499"/>
    <n v="2.1078212000154699"/>
  </r>
  <r>
    <x v="8"/>
    <x v="1"/>
    <x v="5"/>
    <n v="2.1103713109643798"/>
    <n v="2.1097643635310699"/>
    <n v="2.11097843300734"/>
  </r>
  <r>
    <x v="9"/>
    <x v="1"/>
    <x v="5"/>
    <n v="2.04138202794537"/>
    <n v="2.0407949218522701"/>
    <n v="2.0419693029401"/>
  </r>
  <r>
    <x v="10"/>
    <x v="1"/>
    <x v="5"/>
    <n v="1.9911692688049201"/>
    <n v="1.9905966038119201"/>
    <n v="1.99174209854511"/>
  </r>
  <r>
    <x v="11"/>
    <x v="1"/>
    <x v="5"/>
    <n v="1.9718791750031599"/>
    <n v="1.9713120577096199"/>
    <n v="1.9724464554479499"/>
  </r>
  <r>
    <x v="12"/>
    <x v="1"/>
    <x v="5"/>
    <n v="1.92963290555982"/>
    <n v="1.92907793809114"/>
    <n v="1.93018803268453"/>
  </r>
  <r>
    <x v="13"/>
    <x v="1"/>
    <x v="5"/>
    <n v="1.3140761947344399"/>
    <n v="1.31369826351484"/>
    <n v="1.3144542346791701"/>
  </r>
  <r>
    <x v="14"/>
    <x v="1"/>
    <x v="5"/>
    <n v="1.2989647913426301"/>
    <n v="1.2985912056309701"/>
    <n v="1.29933848452943"/>
  </r>
  <r>
    <x v="15"/>
    <x v="1"/>
    <x v="5"/>
    <n v="1.3107152868242899"/>
    <n v="1.31033831953229"/>
    <n v="1.3110923625648701"/>
  </r>
  <r>
    <x v="16"/>
    <x v="1"/>
    <x v="5"/>
    <n v="1.34852527763148"/>
    <n v="1.34813743852337"/>
    <n v="1.3489132283151299"/>
  </r>
  <r>
    <x v="17"/>
    <x v="1"/>
    <x v="5"/>
    <n v="1.24396309156829"/>
    <n v="1.24360532539928"/>
    <n v="1.2443209606611501"/>
  </r>
  <r>
    <x v="18"/>
    <x v="1"/>
    <x v="5"/>
    <n v="1.1588188185422901"/>
    <n v="1.1584855396960301"/>
    <n v="1.1591521932678699"/>
  </r>
  <r>
    <x v="19"/>
    <x v="1"/>
    <x v="5"/>
    <n v="1.13303917891429"/>
    <n v="1.13271331406288"/>
    <n v="1.13336513751219"/>
  </r>
  <r>
    <x v="20"/>
    <x v="1"/>
    <x v="5"/>
    <n v="1.15318354026068"/>
    <n v="1.1528518813975901"/>
    <n v="1.15351529453725"/>
  </r>
  <r>
    <x v="21"/>
    <x v="1"/>
    <x v="5"/>
    <n v="1.1393483046772499"/>
    <n v="1.1390206251166599"/>
    <n v="1.1396760785064399"/>
  </r>
  <r>
    <x v="22"/>
    <x v="1"/>
    <x v="5"/>
    <n v="1.1085671265177599"/>
    <n v="1.10824829978341"/>
    <n v="1.10888604497387"/>
  </r>
  <r>
    <x v="23"/>
    <x v="1"/>
    <x v="5"/>
    <n v="1.06523000619055"/>
    <n v="1.0649236435032901"/>
    <n v="1.06553645701379"/>
  </r>
  <r>
    <x v="24"/>
    <x v="1"/>
    <x v="5"/>
    <n v="1.0014662003444601"/>
    <n v="1.0011781760781"/>
    <n v="1.0017543074711699"/>
  </r>
  <r>
    <x v="25"/>
    <x v="1"/>
    <x v="5"/>
    <n v="1.0983071575813901"/>
    <n v="1.09799128153799"/>
    <n v="1.0986231244977001"/>
  </r>
  <r>
    <x v="26"/>
    <x v="1"/>
    <x v="5"/>
    <n v="1.03583476564215"/>
    <n v="1.03553685689705"/>
    <n v="1.03613276009122"/>
  </r>
  <r>
    <x v="27"/>
    <x v="1"/>
    <x v="5"/>
    <n v="0.96663037201167801"/>
    <n v="0.96635236664491697"/>
    <n v="0.966908457356495"/>
  </r>
  <r>
    <x v="28"/>
    <x v="1"/>
    <x v="5"/>
    <n v="0.97241689252568997"/>
    <n v="0.97213722300622196"/>
    <n v="0.97269664250194698"/>
  </r>
  <r>
    <x v="29"/>
    <x v="1"/>
    <x v="5"/>
    <n v="0.95913843156262801"/>
    <n v="0.95886258087730203"/>
    <n v="0.95941436160614701"/>
  </r>
  <r>
    <x v="30"/>
    <x v="1"/>
    <x v="5"/>
    <n v="1.0105787616079001"/>
    <n v="1.0102881165324999"/>
    <n v="1.0108694902976301"/>
  </r>
  <r>
    <x v="31"/>
    <x v="1"/>
    <x v="5"/>
    <n v="0.96639488288075803"/>
    <n v="0.96611694522286296"/>
    <n v="0.96667290049723498"/>
  </r>
  <r>
    <x v="32"/>
    <x v="1"/>
    <x v="5"/>
    <n v="0.95901393122219902"/>
    <n v="0.95873811631126205"/>
    <n v="0.95928982548104402"/>
  </r>
  <r>
    <x v="33"/>
    <x v="1"/>
    <x v="5"/>
    <n v="0.96486985198240305"/>
    <n v="0.96459235284392997"/>
    <n v="0.965147430953327"/>
  </r>
  <r>
    <x v="34"/>
    <x v="1"/>
    <x v="5"/>
    <n v="0.91580755812196402"/>
    <n v="0.91554416945305195"/>
    <n v="0.91607102256394402"/>
  </r>
  <r>
    <x v="35"/>
    <x v="1"/>
    <x v="5"/>
    <n v="0.90376983572012504"/>
    <n v="0.90350990914691798"/>
    <n v="0.90402983707040196"/>
  </r>
  <r>
    <x v="36"/>
    <x v="1"/>
    <x v="5"/>
    <n v="0.93155105841421304"/>
    <n v="0.93128314196592299"/>
    <n v="0.93181905193812098"/>
  </r>
  <r>
    <x v="37"/>
    <x v="1"/>
    <x v="5"/>
    <n v="0.94999963027615597"/>
    <n v="0.94972640797285801"/>
    <n v="0.95027293118148803"/>
  </r>
  <r>
    <x v="38"/>
    <x v="1"/>
    <x v="5"/>
    <n v="0.93799982218520395"/>
    <n v="0.93773005106515195"/>
    <n v="0.93826967091443303"/>
  </r>
  <r>
    <x v="39"/>
    <x v="1"/>
    <x v="5"/>
    <n v="1.0170072728241399"/>
    <n v="1.01671477898602"/>
    <n v="1.0172998508084199"/>
  </r>
  <r>
    <x v="40"/>
    <x v="1"/>
    <x v="5"/>
    <n v="0.96611865229223004"/>
    <n v="0.96584079414063895"/>
    <n v="0.96639659037951398"/>
  </r>
  <r>
    <x v="41"/>
    <x v="1"/>
    <x v="5"/>
    <n v="0.96424335048785303"/>
    <n v="0.96396603171278294"/>
    <n v="0.96452074904343499"/>
  </r>
  <r>
    <x v="42"/>
    <x v="1"/>
    <x v="5"/>
    <n v="0.97919178658784001"/>
    <n v="0.97891016852555301"/>
    <n v="0.97947348566750303"/>
  </r>
  <r>
    <x v="43"/>
    <x v="1"/>
    <x v="5"/>
    <n v="0.98497877552021695"/>
    <n v="0.98469549312022298"/>
    <n v="0.98526213941638896"/>
  </r>
  <r>
    <x v="44"/>
    <x v="1"/>
    <x v="5"/>
    <n v="0.95534665539723196"/>
    <n v="0.95507189525793101"/>
    <n v="0.955621494580984"/>
  </r>
  <r>
    <x v="45"/>
    <x v="1"/>
    <x v="5"/>
    <n v="0.98373226369720401"/>
    <n v="0.98344933968124504"/>
    <n v="0.98401526910627202"/>
  </r>
  <r>
    <x v="46"/>
    <x v="1"/>
    <x v="5"/>
    <n v="0.98275461127847497"/>
    <n v="0.98247196848322804"/>
    <n v="0.98303733538591398"/>
  </r>
  <r>
    <x v="47"/>
    <x v="1"/>
    <x v="5"/>
    <n v="0.93801628628538702"/>
    <n v="0.93774651033077605"/>
    <n v="0.93828613985059295"/>
  </r>
  <r>
    <x v="48"/>
    <x v="1"/>
    <x v="5"/>
    <n v="0.93263127577069305"/>
    <n v="0.93236304843726403"/>
    <n v="0.93289958026923803"/>
  </r>
  <r>
    <x v="49"/>
    <x v="1"/>
    <x v="5"/>
    <n v="0.96093377402177804"/>
    <n v="0.96065740695810198"/>
    <n v="0.96121022059220995"/>
  </r>
  <r>
    <x v="50"/>
    <x v="1"/>
    <x v="5"/>
    <n v="0.94608191879696502"/>
    <n v="0.94580982321692997"/>
    <n v="0.94635409265489701"/>
  </r>
  <r>
    <x v="51"/>
    <x v="1"/>
    <x v="5"/>
    <n v="0.98477066846108696"/>
    <n v="0.98448744597517202"/>
    <n v="0.98505397242592396"/>
  </r>
  <r>
    <x v="52"/>
    <x v="1"/>
    <x v="5"/>
    <n v="0.97013884673883799"/>
    <n v="0.96985983234638196"/>
    <n v="0.97041794139962501"/>
  </r>
  <r>
    <x v="53"/>
    <x v="1"/>
    <x v="5"/>
    <n v="0.96186532832527305"/>
    <n v="0.96158869339692299"/>
    <n v="0.96214204283742399"/>
  </r>
  <r>
    <x v="54"/>
    <x v="1"/>
    <x v="5"/>
    <n v="0.95610661288851495"/>
    <n v="0.95583163423152395"/>
    <n v="0.95638167065280899"/>
  </r>
  <r>
    <x v="55"/>
    <x v="1"/>
    <x v="5"/>
    <n v="0.95218424281117997"/>
    <n v="0.95191039224229401"/>
    <n v="0.95245817216283202"/>
  </r>
  <r>
    <x v="56"/>
    <x v="1"/>
    <x v="5"/>
    <n v="0.95306273139602504"/>
    <n v="0.95278862753561799"/>
    <n v="0.95333691411224997"/>
  </r>
  <r>
    <x v="57"/>
    <x v="1"/>
    <x v="5"/>
    <n v="0.97297294983698202"/>
    <n v="0.84434213767322297"/>
    <n v="1.1211999483091799"/>
  </r>
  <r>
    <x v="58"/>
    <x v="1"/>
    <x v="5"/>
    <n v="0.93720982346596104"/>
    <n v="0.76449261817801595"/>
    <n v="1.1489479849974999"/>
  </r>
  <r>
    <x v="59"/>
    <x v="1"/>
    <x v="5"/>
    <n v="0.93276199155213702"/>
    <n v="0.72596277564976697"/>
    <n v="1.1984704478898101"/>
  </r>
  <r>
    <x v="60"/>
    <x v="1"/>
    <x v="5"/>
    <n v="0.94133841961401798"/>
    <n v="0.702973590839437"/>
    <n v="1.2605281788513301"/>
  </r>
  <r>
    <x v="61"/>
    <x v="1"/>
    <x v="5"/>
    <n v="0.90200442224739796"/>
    <n v="0.65434015263758805"/>
    <n v="1.2434083014381201"/>
  </r>
  <r>
    <x v="62"/>
    <x v="1"/>
    <x v="5"/>
    <n v="0.92111854500752799"/>
    <n v="0.64839665958904202"/>
    <n v="1.30854988440956"/>
  </r>
  <r>
    <x v="63"/>
    <x v="1"/>
    <x v="5"/>
    <n v="0.94687466457746805"/>
    <n v="0.64914953038878298"/>
    <n v="1.3811480844509401"/>
  </r>
  <r>
    <x v="64"/>
    <x v="1"/>
    <x v="5"/>
    <n v="0.94282048033749899"/>
    <n v="0.63204295126439303"/>
    <n v="1.40640830874797"/>
  </r>
  <r>
    <x v="65"/>
    <x v="1"/>
    <x v="5"/>
    <n v="0.95027727991487199"/>
    <n v="0.621199756886609"/>
    <n v="1.45368200600768"/>
  </r>
  <r>
    <x v="66"/>
    <x v="1"/>
    <x v="5"/>
    <n v="0.96797554823270204"/>
    <n v="0.61870209756515504"/>
    <n v="1.5144229600380901"/>
  </r>
  <r>
    <x v="67"/>
    <x v="1"/>
    <x v="5"/>
    <n v="0.95957678644871403"/>
    <n v="0.59956906908927299"/>
    <n v="1.5357490180237101"/>
  </r>
  <r>
    <x v="68"/>
    <x v="1"/>
    <x v="5"/>
    <n v="0.95160126530600997"/>
    <n v="0.583504713007718"/>
    <n v="1.5519068620102501"/>
  </r>
  <r>
    <x v="69"/>
    <x v="1"/>
    <x v="5"/>
    <n v="0.95800966278462396"/>
    <n v="0.56995815530331995"/>
    <n v="1.61026297360424"/>
  </r>
  <r>
    <x v="70"/>
    <x v="1"/>
    <x v="5"/>
    <n v="0.90901567432971997"/>
    <n v="0.52815964940743099"/>
    <n v="1.5645070521843101"/>
  </r>
  <r>
    <x v="71"/>
    <x v="1"/>
    <x v="5"/>
    <n v="0.89215647082530702"/>
    <n v="0.50228837692306205"/>
    <n v="1.5846338577676999"/>
  </r>
  <r>
    <x v="72"/>
    <x v="1"/>
    <x v="5"/>
    <n v="0.87821003886730897"/>
    <n v="0.48197605702206597"/>
    <n v="1.6001891818705201"/>
  </r>
  <r>
    <x v="73"/>
    <x v="1"/>
    <x v="5"/>
    <n v="0.82048866294367195"/>
    <n v="0.43868179506635102"/>
    <n v="1.5346012840976699"/>
  </r>
  <r>
    <x v="74"/>
    <x v="1"/>
    <x v="5"/>
    <n v="0.819422887043879"/>
    <n v="0.425360068192489"/>
    <n v="1.5785540722347999"/>
  </r>
  <r>
    <x v="75"/>
    <x v="1"/>
    <x v="5"/>
    <n v="0.81460155067016005"/>
    <n v="0.41431405593290399"/>
    <n v="1.60162484678457"/>
  </r>
  <r>
    <x v="76"/>
    <x v="1"/>
    <x v="5"/>
    <n v="0.78576460517562696"/>
    <n v="0.39106467118795002"/>
    <n v="1.5788335286622399"/>
  </r>
  <r>
    <x v="77"/>
    <x v="1"/>
    <x v="5"/>
    <n v="0.76620519430655898"/>
    <n v="0.373562240253769"/>
    <n v="1.5715464158892001"/>
  </r>
  <r>
    <x v="78"/>
    <x v="1"/>
    <x v="5"/>
    <n v="0.75695232808416002"/>
    <n v="0.360787869732133"/>
    <n v="1.58812663911743"/>
  </r>
  <r>
    <x v="79"/>
    <x v="1"/>
    <x v="5"/>
    <n v="0.72701696885313305"/>
    <n v="0.33985013218286497"/>
    <n v="1.5552551638143699"/>
  </r>
  <r>
    <x v="80"/>
    <x v="1"/>
    <x v="5"/>
    <n v="0.69852265715625494"/>
    <n v="0.32009656943820702"/>
    <n v="1.5243334329292999"/>
  </r>
  <r>
    <x v="81"/>
    <x v="1"/>
    <x v="5"/>
    <n v="0.68752921015332302"/>
    <n v="0.30576035831868997"/>
    <n v="1.5459702409210501"/>
  </r>
  <r>
    <x v="82"/>
    <x v="1"/>
    <x v="5"/>
    <n v="0.63731758741478595"/>
    <n v="0.27523650855264498"/>
    <n v="1.47572612864515"/>
  </r>
  <r>
    <x v="83"/>
    <x v="1"/>
    <x v="5"/>
    <n v="0.611535030181932"/>
    <n v="0.255231130226933"/>
    <n v="1.46524090853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6" applyNumberFormats="0" applyBorderFormats="0" applyFontFormats="0" applyPatternFormats="0" applyAlignmentFormats="0" applyWidthHeightFormats="1" dataCaption="Valores" updatedVersion="4" minRefreshableVersion="3" rowGrandTotals="0" colGrandTotals="0" itemPrintTitles="1" createdVersion="4" indent="0" outline="1" outlineData="1" multipleFieldFilters="0" chartFormat="4">
  <location ref="A3:M42" firstHeaderRow="1" firstDataRow="3" firstDataCol="1" rowPageCount="1" colPageCount="1"/>
  <pivotFields count="6">
    <pivotField axis="axisRow" numFmtId="14" showAll="0">
      <items count="8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t="default"/>
      </items>
    </pivotField>
    <pivotField axis="axisPage" multipleItemSelectionAllowed="1" showAll="0">
      <items count="4">
        <item x="0"/>
        <item h="1" x="2"/>
        <item h="1" x="1"/>
        <item t="default"/>
      </items>
    </pivotField>
    <pivotField axis="axisCol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showAll="0"/>
    <pivotField dataField="1" showAll="0"/>
  </pivotFields>
  <rowFields count="1">
    <field x="0"/>
  </rowFields>
  <rowItems count="37"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</rowItems>
  <colFields count="2">
    <field x="2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</colItems>
  <pageFields count="1">
    <pageField fld="1" hier="-1"/>
  </pageFields>
  <dataFields count="2">
    <dataField name="Suma de MEAN" fld="3" baseField="0" baseItem="0"/>
    <dataField name="Suma de HIGH" fld="5" baseField="0" baseItem="0"/>
  </dataFields>
  <formats count="3">
    <format dxfId="23">
      <pivotArea outline="0" collapsedLevelsAreSubtotals="1" fieldPosition="0"/>
    </format>
    <format dxfId="22">
      <pivotArea collapsedLevelsAreSubtotals="1" fieldPosition="0">
        <references count="3">
          <reference field="4294967294" count="1" selected="0">
            <x v="0"/>
          </reference>
          <reference field="0" count="3">
            <x v="35"/>
            <x v="36"/>
            <x v="37"/>
          </reference>
          <reference field="2" count="1" selected="0">
            <x v="0"/>
          </reference>
        </references>
      </pivotArea>
    </format>
    <format dxfId="21">
      <pivotArea dataOnly="0" labelOnly="1" fieldPosition="0">
        <references count="1">
          <reference field="0" count="3">
            <x v="35"/>
            <x v="36"/>
            <x v="37"/>
          </reference>
        </references>
      </pivotArea>
    </format>
  </formats>
  <chartFormats count="8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2" cacheId="6" applyNumberFormats="0" applyBorderFormats="0" applyFontFormats="0" applyPatternFormats="0" applyAlignmentFormats="0" applyWidthHeightFormats="1" dataCaption="Valores" updatedVersion="4" minRefreshableVersion="3" rowGrandTotals="0" colGrandTotals="0" itemPrintTitles="1" createdVersion="4" indent="0" outline="1" outlineData="1" multipleFieldFilters="0" chartFormat="4">
  <location ref="A3:I54" firstHeaderRow="1" firstDataRow="3" firstDataCol="1" rowPageCount="1" colPageCount="1"/>
  <pivotFields count="6">
    <pivotField axis="axisRow" numFmtId="14" showAll="0">
      <items count="8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t="default"/>
      </items>
    </pivotField>
    <pivotField axis="axisPage" multipleItemSelectionAllowed="1" showAll="0">
      <items count="4">
        <item h="1" x="0"/>
        <item h="1" x="2"/>
        <item x="1"/>
        <item t="default"/>
      </items>
    </pivotField>
    <pivotField axis="axisCol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showAll="0"/>
    <pivotField dataField="1" showAll="0"/>
  </pivotFields>
  <rowFields count="1">
    <field x="0"/>
  </rowFields>
  <rowItems count="49"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</rowItems>
  <colFields count="2">
    <field x="2"/>
    <field x="-2"/>
  </colFields>
  <colItems count="8">
    <i>
      <x/>
      <x/>
    </i>
    <i r="1" i="1">
      <x v="1"/>
    </i>
    <i>
      <x v="1"/>
      <x/>
    </i>
    <i r="1" i="1">
      <x v="1"/>
    </i>
    <i>
      <x v="4"/>
      <x/>
    </i>
    <i r="1" i="1">
      <x v="1"/>
    </i>
    <i>
      <x v="5"/>
      <x/>
    </i>
    <i r="1" i="1">
      <x v="1"/>
    </i>
  </colItems>
  <pageFields count="1">
    <pageField fld="1" hier="-1"/>
  </pageFields>
  <dataFields count="2">
    <dataField name="Suma de MEAN" fld="3" baseField="0" baseItem="0"/>
    <dataField name="Suma de HIGH" fld="5" baseField="0" baseItem="0"/>
  </dataFields>
  <formats count="3">
    <format dxfId="20">
      <pivotArea outline="0" collapsedLevelsAreSubtotals="1" fieldPosition="0"/>
    </format>
    <format dxfId="19">
      <pivotArea collapsedLevelsAreSubtotals="1" fieldPosition="0">
        <references count="3">
          <reference field="4294967294" count="1" selected="0">
            <x v="0"/>
          </reference>
          <reference field="0" count="3">
            <x v="35"/>
            <x v="36"/>
            <x v="37"/>
          </reference>
          <reference field="2" count="1" selected="0">
            <x v="0"/>
          </reference>
        </references>
      </pivotArea>
    </format>
    <format dxfId="18">
      <pivotArea dataOnly="0" labelOnly="1" fieldPosition="0">
        <references count="1">
          <reference field="0" count="3">
            <x v="35"/>
            <x v="36"/>
            <x v="37"/>
          </reference>
        </references>
      </pivotArea>
    </format>
  </formats>
  <chartFormats count="8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2" cacheId="6" applyNumberFormats="0" applyBorderFormats="0" applyFontFormats="0" applyPatternFormats="0" applyAlignmentFormats="0" applyWidthHeightFormats="1" dataCaption="Valores" updatedVersion="4" minRefreshableVersion="3" rowGrandTotals="0" colGrandTotals="0" itemPrintTitles="1" createdVersion="4" indent="0" outline="1" outlineData="1" multipleFieldFilters="0" chartFormat="5">
  <location ref="A3:I54" firstHeaderRow="1" firstDataRow="3" firstDataCol="1" rowPageCount="1" colPageCount="1"/>
  <pivotFields count="6">
    <pivotField axis="axisRow" numFmtId="14" showAll="0">
      <items count="8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t="default"/>
      </items>
    </pivotField>
    <pivotField axis="axisPage" multipleItemSelectionAllowed="1" showAll="0">
      <items count="4">
        <item h="1" x="0"/>
        <item x="2"/>
        <item h="1" x="1"/>
        <item t="default"/>
      </items>
    </pivotField>
    <pivotField axis="axisCol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showAll="0"/>
    <pivotField dataField="1" showAll="0"/>
  </pivotFields>
  <rowFields count="1">
    <field x="0"/>
  </rowFields>
  <rowItems count="49"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</rowItems>
  <colFields count="2">
    <field x="2"/>
    <field x="-2"/>
  </colFields>
  <colItems count="8">
    <i>
      <x/>
      <x/>
    </i>
    <i r="1" i="1">
      <x v="1"/>
    </i>
    <i>
      <x v="1"/>
      <x/>
    </i>
    <i r="1" i="1">
      <x v="1"/>
    </i>
    <i>
      <x v="4"/>
      <x/>
    </i>
    <i r="1" i="1">
      <x v="1"/>
    </i>
    <i>
      <x v="5"/>
      <x/>
    </i>
    <i r="1" i="1">
      <x v="1"/>
    </i>
  </colItems>
  <pageFields count="1">
    <pageField fld="1" hier="-1"/>
  </pageFields>
  <dataFields count="2">
    <dataField name="Suma de MEAN" fld="3" baseField="0" baseItem="0"/>
    <dataField name="Suma de HIGH" fld="5" baseField="0" baseItem="0"/>
  </dataFields>
  <formats count="3">
    <format dxfId="17">
      <pivotArea outline="0" collapsedLevelsAreSubtotals="1" fieldPosition="0"/>
    </format>
    <format dxfId="16">
      <pivotArea collapsedLevelsAreSubtotals="1" fieldPosition="0">
        <references count="3">
          <reference field="4294967294" count="1" selected="0">
            <x v="0"/>
          </reference>
          <reference field="0" count="3">
            <x v="35"/>
            <x v="36"/>
            <x v="37"/>
          </reference>
          <reference field="2" count="1" selected="0">
            <x v="0"/>
          </reference>
        </references>
      </pivotArea>
    </format>
    <format dxfId="15">
      <pivotArea dataOnly="0" labelOnly="1" fieldPosition="0">
        <references count="1">
          <reference field="0" count="3">
            <x v="35"/>
            <x v="36"/>
            <x v="37"/>
          </reference>
        </references>
      </pivotArea>
    </format>
  </formats>
  <chartFormats count="8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18"/>
  <sheetViews>
    <sheetView workbookViewId="0">
      <selection activeCell="E3" sqref="E3"/>
    </sheetView>
  </sheetViews>
  <sheetFormatPr baseColWidth="10" defaultRowHeight="15" x14ac:dyDescent="0.25"/>
  <cols>
    <col min="2" max="2" width="56.140625" bestFit="1" customWidth="1"/>
    <col min="3" max="3" width="10.42578125" customWidth="1"/>
    <col min="4" max="4" width="12.5703125" bestFit="1" customWidth="1"/>
    <col min="5" max="5" width="13.28515625" bestFit="1" customWidth="1"/>
  </cols>
  <sheetData>
    <row r="1" spans="1:5" x14ac:dyDescent="0.25">
      <c r="A1" t="s">
        <v>28</v>
      </c>
      <c r="B1" t="s">
        <v>30</v>
      </c>
      <c r="C1" t="s">
        <v>29</v>
      </c>
      <c r="D1" t="s">
        <v>34</v>
      </c>
      <c r="E1" t="s">
        <v>35</v>
      </c>
    </row>
    <row r="2" spans="1:5" x14ac:dyDescent="0.25">
      <c r="A2" t="s">
        <v>31</v>
      </c>
      <c r="B2" t="s">
        <v>11</v>
      </c>
      <c r="C2" s="5">
        <v>5.3887746346691842E-3</v>
      </c>
      <c r="D2" s="4">
        <v>0.45</v>
      </c>
      <c r="E2" s="4">
        <v>1</v>
      </c>
    </row>
    <row r="3" spans="1:5" x14ac:dyDescent="0.25">
      <c r="A3" t="s">
        <v>31</v>
      </c>
      <c r="B3" t="s">
        <v>12</v>
      </c>
      <c r="C3" s="5">
        <v>3.075E-2</v>
      </c>
      <c r="D3" s="4">
        <v>0.409055</v>
      </c>
      <c r="E3" s="4">
        <v>0.396706</v>
      </c>
    </row>
    <row r="4" spans="1:5" x14ac:dyDescent="0.25">
      <c r="A4" t="s">
        <v>31</v>
      </c>
      <c r="B4" t="s">
        <v>13</v>
      </c>
      <c r="C4" s="5">
        <v>3.7828000000000001E-2</v>
      </c>
      <c r="D4" s="4">
        <v>0.42144399999999999</v>
      </c>
      <c r="E4" s="4">
        <v>0.44999996060502528</v>
      </c>
    </row>
    <row r="5" spans="1:5" x14ac:dyDescent="0.25">
      <c r="A5" t="s">
        <v>31</v>
      </c>
      <c r="B5" t="s">
        <v>14</v>
      </c>
      <c r="C5" s="5">
        <v>0</v>
      </c>
      <c r="D5" s="4">
        <v>0</v>
      </c>
      <c r="E5" s="4">
        <v>0</v>
      </c>
    </row>
    <row r="6" spans="1:5" x14ac:dyDescent="0.25">
      <c r="A6" t="s">
        <v>31</v>
      </c>
      <c r="B6" t="s">
        <v>15</v>
      </c>
      <c r="C6" s="5">
        <v>4.3903999999999999E-2</v>
      </c>
      <c r="D6" s="4">
        <v>0.39791199999999999</v>
      </c>
      <c r="E6" s="4">
        <v>0.46862199999999998</v>
      </c>
    </row>
    <row r="7" spans="1:5" x14ac:dyDescent="0.25">
      <c r="A7" t="s">
        <v>31</v>
      </c>
      <c r="B7" t="s">
        <v>16</v>
      </c>
      <c r="C7" s="5">
        <v>1.586586999225302E-3</v>
      </c>
      <c r="D7" s="4">
        <v>0</v>
      </c>
      <c r="E7" s="4">
        <v>0</v>
      </c>
    </row>
    <row r="8" spans="1:5" x14ac:dyDescent="0.25">
      <c r="A8" t="s">
        <v>31</v>
      </c>
      <c r="B8" t="s">
        <v>17</v>
      </c>
      <c r="C8" s="5">
        <v>1.0203E-2</v>
      </c>
      <c r="D8" s="4">
        <v>0.1</v>
      </c>
      <c r="E8" s="4">
        <v>0.1</v>
      </c>
    </row>
    <row r="9" spans="1:5" x14ac:dyDescent="0.25">
      <c r="A9" t="s">
        <v>31</v>
      </c>
      <c r="B9" t="s">
        <v>18</v>
      </c>
      <c r="C9" s="5">
        <v>2.9059000000000001E-2</v>
      </c>
      <c r="D9" s="4">
        <v>0.45</v>
      </c>
      <c r="E9" s="4">
        <v>0.45</v>
      </c>
    </row>
    <row r="10" spans="1:5" x14ac:dyDescent="0.25">
      <c r="A10" t="s">
        <v>31</v>
      </c>
      <c r="B10" t="s">
        <v>19</v>
      </c>
      <c r="C10" s="5">
        <v>7.8376000000000001E-2</v>
      </c>
      <c r="D10" s="4">
        <v>0.34573300000000001</v>
      </c>
      <c r="E10" s="4">
        <v>0.61733099999999996</v>
      </c>
    </row>
    <row r="11" spans="1:5" x14ac:dyDescent="0.25">
      <c r="A11" t="s">
        <v>32</v>
      </c>
      <c r="B11" t="s">
        <v>20</v>
      </c>
      <c r="C11" s="5">
        <v>0.1855856327560936</v>
      </c>
      <c r="D11" s="4">
        <v>0.72918400000000005</v>
      </c>
      <c r="E11" s="4">
        <v>0.81455</v>
      </c>
    </row>
    <row r="12" spans="1:5" x14ac:dyDescent="0.25">
      <c r="A12" t="s">
        <v>32</v>
      </c>
      <c r="B12" t="s">
        <v>21</v>
      </c>
      <c r="C12" s="5">
        <v>7.9753000000000004E-2</v>
      </c>
      <c r="D12" s="4">
        <v>0.65</v>
      </c>
      <c r="E12" s="4">
        <v>0.65</v>
      </c>
    </row>
    <row r="13" spans="1:5" x14ac:dyDescent="0.25">
      <c r="A13" t="s">
        <v>32</v>
      </c>
      <c r="B13" t="s">
        <v>22</v>
      </c>
      <c r="C13" s="5">
        <v>9.6944000000000002E-2</v>
      </c>
      <c r="D13" s="4">
        <v>0.65</v>
      </c>
      <c r="E13" s="4">
        <v>0.68229399999999996</v>
      </c>
    </row>
    <row r="14" spans="1:5" x14ac:dyDescent="0.25">
      <c r="A14" t="s">
        <v>32</v>
      </c>
      <c r="B14" t="s">
        <v>23</v>
      </c>
      <c r="C14" s="5">
        <v>2.5271999999999999E-2</v>
      </c>
      <c r="D14" s="4">
        <v>0.65</v>
      </c>
      <c r="E14" s="4">
        <v>0.69231399999999998</v>
      </c>
    </row>
    <row r="15" spans="1:5" x14ac:dyDescent="0.25">
      <c r="A15" t="s">
        <v>32</v>
      </c>
      <c r="B15" t="s">
        <v>24</v>
      </c>
      <c r="C15" s="5">
        <v>0</v>
      </c>
      <c r="D15" s="4">
        <v>0</v>
      </c>
      <c r="E15" s="4">
        <v>0</v>
      </c>
    </row>
    <row r="16" spans="1:5" x14ac:dyDescent="0.25">
      <c r="A16" t="s">
        <v>33</v>
      </c>
      <c r="B16" t="s">
        <v>25</v>
      </c>
      <c r="C16" s="5">
        <v>1.6669E-2</v>
      </c>
      <c r="D16" s="4">
        <v>0.24599799999999999</v>
      </c>
      <c r="E16" s="4">
        <v>0.30105799999999999</v>
      </c>
    </row>
    <row r="17" spans="1:5" x14ac:dyDescent="0.25">
      <c r="A17" t="s">
        <v>33</v>
      </c>
      <c r="B17" t="s">
        <v>26</v>
      </c>
      <c r="C17" s="5">
        <v>0</v>
      </c>
      <c r="D17" s="4">
        <v>0</v>
      </c>
      <c r="E17" s="4">
        <v>0</v>
      </c>
    </row>
    <row r="18" spans="1:5" x14ac:dyDescent="0.25">
      <c r="A18" t="s">
        <v>33</v>
      </c>
      <c r="B18" t="s">
        <v>27</v>
      </c>
      <c r="C18" s="5">
        <v>0</v>
      </c>
      <c r="D18" s="4">
        <v>0</v>
      </c>
      <c r="E18" s="4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D104"/>
  <sheetViews>
    <sheetView topLeftCell="E1" zoomScale="80" zoomScaleNormal="80" workbookViewId="0">
      <selection activeCell="W21" sqref="W21"/>
    </sheetView>
  </sheetViews>
  <sheetFormatPr baseColWidth="10" defaultColWidth="11.7109375" defaultRowHeight="15" x14ac:dyDescent="0.25"/>
  <sheetData>
    <row r="1" spans="1:23" x14ac:dyDescent="0.25">
      <c r="A1" s="2" t="s">
        <v>1</v>
      </c>
      <c r="B1" t="s">
        <v>8</v>
      </c>
    </row>
    <row r="3" spans="1:23" x14ac:dyDescent="0.25">
      <c r="B3" s="2" t="s">
        <v>39</v>
      </c>
      <c r="N3" t="s">
        <v>46</v>
      </c>
      <c r="O3">
        <v>0</v>
      </c>
      <c r="P3">
        <v>0</v>
      </c>
      <c r="Q3">
        <v>1</v>
      </c>
      <c r="S3">
        <v>0</v>
      </c>
      <c r="T3">
        <v>1</v>
      </c>
      <c r="U3">
        <v>1</v>
      </c>
    </row>
    <row r="4" spans="1:23" x14ac:dyDescent="0.25">
      <c r="B4" t="s">
        <v>4</v>
      </c>
      <c r="D4" t="s">
        <v>6</v>
      </c>
      <c r="F4" t="s">
        <v>51</v>
      </c>
      <c r="H4" t="s">
        <v>52</v>
      </c>
      <c r="J4" t="s">
        <v>59</v>
      </c>
      <c r="L4" t="s">
        <v>60</v>
      </c>
      <c r="N4" t="s">
        <v>45</v>
      </c>
      <c r="O4" s="4"/>
      <c r="P4" s="4"/>
      <c r="Q4" s="4"/>
      <c r="R4" s="4">
        <v>-0.2</v>
      </c>
      <c r="S4" s="4"/>
      <c r="T4" s="4"/>
      <c r="U4" s="4"/>
      <c r="V4" s="4">
        <v>0.2</v>
      </c>
    </row>
    <row r="5" spans="1:23" x14ac:dyDescent="0.25">
      <c r="A5" s="2" t="s">
        <v>10</v>
      </c>
      <c r="B5" t="s">
        <v>37</v>
      </c>
      <c r="C5" t="s">
        <v>38</v>
      </c>
      <c r="D5" t="s">
        <v>37</v>
      </c>
      <c r="E5" t="s">
        <v>38</v>
      </c>
      <c r="F5" t="s">
        <v>37</v>
      </c>
      <c r="G5" t="s">
        <v>38</v>
      </c>
      <c r="H5" t="s">
        <v>37</v>
      </c>
      <c r="I5" t="s">
        <v>38</v>
      </c>
      <c r="J5" t="s">
        <v>37</v>
      </c>
      <c r="K5" t="s">
        <v>38</v>
      </c>
      <c r="L5" t="s">
        <v>37</v>
      </c>
      <c r="M5" t="s">
        <v>38</v>
      </c>
      <c r="O5" s="10" t="s">
        <v>40</v>
      </c>
      <c r="P5" s="10" t="s">
        <v>41</v>
      </c>
      <c r="Q5" s="10" t="s">
        <v>44</v>
      </c>
      <c r="R5" s="10" t="s">
        <v>47</v>
      </c>
      <c r="S5" s="10" t="s">
        <v>42</v>
      </c>
      <c r="T5" s="10" t="s">
        <v>43</v>
      </c>
      <c r="U5" s="10" t="s">
        <v>50</v>
      </c>
      <c r="V5" s="10" t="s">
        <v>47</v>
      </c>
    </row>
    <row r="6" spans="1:23" x14ac:dyDescent="0.25">
      <c r="A6" s="3">
        <v>43070</v>
      </c>
      <c r="B6" s="6">
        <v>2.0664790334977199</v>
      </c>
      <c r="C6" s="6">
        <v>2.1079043920417799</v>
      </c>
      <c r="D6" s="6">
        <v>2.0664790334977199</v>
      </c>
      <c r="E6" s="6">
        <v>2.1079043920417799</v>
      </c>
      <c r="F6" s="6">
        <v>2.2305139284076798</v>
      </c>
      <c r="G6" s="6">
        <v>2.38307457453186</v>
      </c>
      <c r="H6" s="6">
        <v>2.2305139284076798</v>
      </c>
      <c r="I6" s="6">
        <v>2.38307457453186</v>
      </c>
      <c r="J6" s="6">
        <v>2.06431609191818</v>
      </c>
      <c r="K6" s="6">
        <v>2.09044449016905</v>
      </c>
      <c r="L6" s="6">
        <v>2.0642673862735399</v>
      </c>
      <c r="M6" s="6">
        <v>2.0897320200675402</v>
      </c>
      <c r="N6" s="1">
        <f>A6</f>
        <v>43070</v>
      </c>
      <c r="O6" s="6">
        <f>B6</f>
        <v>2.0664790334977199</v>
      </c>
      <c r="P6" s="6">
        <f>C6</f>
        <v>2.1079043920417799</v>
      </c>
      <c r="Q6" s="6">
        <f>AVERAGE(B6:C6)</f>
        <v>2.0871917127697497</v>
      </c>
      <c r="R6" s="6"/>
      <c r="S6" s="6">
        <f>D6</f>
        <v>2.0664790334977199</v>
      </c>
      <c r="T6" s="6">
        <f>E6</f>
        <v>2.1079043920417799</v>
      </c>
      <c r="U6" s="6">
        <f t="shared" ref="U6:U20" si="0">O6</f>
        <v>2.0664790334977199</v>
      </c>
      <c r="V6" s="6"/>
      <c r="W6" s="6"/>
    </row>
    <row r="7" spans="1:23" x14ac:dyDescent="0.25">
      <c r="A7" s="3">
        <v>43101</v>
      </c>
      <c r="B7" s="6">
        <v>2.0674411737941898</v>
      </c>
      <c r="C7" s="6">
        <v>2.1085739429925101</v>
      </c>
      <c r="D7" s="6">
        <v>2.0674411737941898</v>
      </c>
      <c r="E7" s="6">
        <v>2.1085739429925101</v>
      </c>
      <c r="F7" s="6">
        <v>2.2704762917324102</v>
      </c>
      <c r="G7" s="6">
        <v>2.4351480447454099</v>
      </c>
      <c r="H7" s="6">
        <v>2.2704762917324102</v>
      </c>
      <c r="I7" s="6">
        <v>2.4351480447454099</v>
      </c>
      <c r="J7" s="6">
        <v>2.0549407167380802</v>
      </c>
      <c r="K7" s="6">
        <v>2.0808924226591001</v>
      </c>
      <c r="L7" s="6">
        <v>2.0545627987798301</v>
      </c>
      <c r="M7" s="6">
        <v>2.0798544168047299</v>
      </c>
      <c r="N7" s="1">
        <f t="shared" ref="N7:N42" si="1">A7</f>
        <v>43101</v>
      </c>
      <c r="O7" s="6">
        <f>IF(O$3=1,O6*(1+$R7),B7)</f>
        <v>2.0674411737941898</v>
      </c>
      <c r="P7" s="6">
        <f>IF(P$3=1,P6*(1+$R7),C7)</f>
        <v>2.1085739429925101</v>
      </c>
      <c r="Q7" s="6">
        <f t="shared" ref="Q7:Q42" si="2">IF(Q$3=1,Q6*(1+$R7),AVERAGE(B7:C7))</f>
        <v>2.0880075583933499</v>
      </c>
      <c r="R7" s="5">
        <f t="shared" ref="R7:R12" si="3">IF(O$3=1,(B7/B6)-1,IF(P$3=1,(C7/C6)-1,(AVERAGE(B7:C7)/AVERAGE(B6:C6)-1)))</f>
        <v>3.9088197725622997E-4</v>
      </c>
      <c r="S7" s="6">
        <f t="shared" ref="S7:S42" si="4">IF(S$3=1,S6*(1+$V7),D7)</f>
        <v>2.0674411737941898</v>
      </c>
      <c r="T7" s="6">
        <f t="shared" ref="T7:T42" si="5">IF(T$3=1,T6*(1+$V7),E7)</f>
        <v>2.1085739429925101</v>
      </c>
      <c r="U7" s="6">
        <f t="shared" si="0"/>
        <v>2.0674411737941898</v>
      </c>
      <c r="V7" s="5">
        <f t="shared" ref="V7:V12" si="6">IF(S$3=1,(D7/D6)-1,IF(T$3=1,(E7/E6)-1,(AVERAGE(D7:E7)/AVERAGE(D6:E6)-1)))</f>
        <v>3.1763819709196284E-4</v>
      </c>
      <c r="W7" s="15">
        <f>+C7</f>
        <v>2.1085739429925101</v>
      </c>
    </row>
    <row r="8" spans="1:23" x14ac:dyDescent="0.25">
      <c r="A8" s="3">
        <v>43132</v>
      </c>
      <c r="B8" s="6">
        <v>2.0833297796897101</v>
      </c>
      <c r="C8" s="6">
        <v>2.1251184973963801</v>
      </c>
      <c r="D8" s="6">
        <v>2.0833297796897101</v>
      </c>
      <c r="E8" s="6">
        <v>2.1251184973963801</v>
      </c>
      <c r="F8" s="6">
        <v>2.24550026593815</v>
      </c>
      <c r="G8" s="6">
        <v>2.4149524369107098</v>
      </c>
      <c r="H8" s="6">
        <v>2.24550026593815</v>
      </c>
      <c r="I8" s="6">
        <v>2.4149524369107098</v>
      </c>
      <c r="J8" s="6">
        <v>2.08315932522118</v>
      </c>
      <c r="K8" s="6">
        <v>2.1094737553546401</v>
      </c>
      <c r="L8" s="6">
        <v>2.0831653530999401</v>
      </c>
      <c r="M8" s="6">
        <v>2.1088152464671999</v>
      </c>
      <c r="N8" s="1">
        <f t="shared" si="1"/>
        <v>43132</v>
      </c>
      <c r="O8" s="6">
        <f t="shared" ref="O8:O42" si="7">IF(O$3=1,O7*(1+R8),B8)</f>
        <v>2.0833297796897101</v>
      </c>
      <c r="P8" s="6">
        <f t="shared" ref="P8:P42" si="8">IF(P$3=1,P7*(1+$R8),C8)</f>
        <v>2.1251184973963801</v>
      </c>
      <c r="Q8" s="6">
        <f t="shared" si="2"/>
        <v>2.1042241385430449</v>
      </c>
      <c r="R8" s="5">
        <f t="shared" si="3"/>
        <v>7.7665332601444259E-3</v>
      </c>
      <c r="S8" s="6">
        <f t="shared" si="4"/>
        <v>2.0833297796897101</v>
      </c>
      <c r="T8" s="6">
        <f t="shared" si="5"/>
        <v>2.1251184973963801</v>
      </c>
      <c r="U8" s="6">
        <f t="shared" si="0"/>
        <v>2.0833297796897101</v>
      </c>
      <c r="V8" s="5">
        <f t="shared" si="6"/>
        <v>7.8463240328152661E-3</v>
      </c>
      <c r="W8" s="15">
        <f>+C8</f>
        <v>2.1251184973963801</v>
      </c>
    </row>
    <row r="9" spans="1:23" x14ac:dyDescent="0.25">
      <c r="A9" s="3">
        <v>43160</v>
      </c>
      <c r="B9" s="6">
        <v>2.0487216891958999</v>
      </c>
      <c r="C9" s="6">
        <v>2.0924895910914798</v>
      </c>
      <c r="D9" s="6">
        <v>2.0487216891958999</v>
      </c>
      <c r="E9" s="6">
        <v>2.0924895910914798</v>
      </c>
      <c r="F9" s="6">
        <v>2.1189527872362302</v>
      </c>
      <c r="G9" s="6">
        <v>2.2888473296854501</v>
      </c>
      <c r="H9" s="6">
        <v>2.1189527872362302</v>
      </c>
      <c r="I9" s="6">
        <v>2.2888473296854501</v>
      </c>
      <c r="J9" s="6">
        <v>2.0568984282254701</v>
      </c>
      <c r="K9" s="6">
        <v>2.08288405824874</v>
      </c>
      <c r="L9" s="6">
        <v>2.0567903770696101</v>
      </c>
      <c r="M9" s="6">
        <v>2.0821179885088199</v>
      </c>
      <c r="N9" s="1">
        <f t="shared" si="1"/>
        <v>43160</v>
      </c>
      <c r="O9" s="6">
        <f t="shared" si="7"/>
        <v>2.0487216891958999</v>
      </c>
      <c r="P9" s="6">
        <f t="shared" si="8"/>
        <v>2.0924895910914798</v>
      </c>
      <c r="Q9" s="6">
        <f t="shared" si="2"/>
        <v>2.0706056401436896</v>
      </c>
      <c r="R9" s="5">
        <f t="shared" si="3"/>
        <v>-1.5976671773489159E-2</v>
      </c>
      <c r="S9" s="6">
        <f t="shared" si="4"/>
        <v>2.0487216891958999</v>
      </c>
      <c r="T9" s="6">
        <f t="shared" si="5"/>
        <v>2.0924895910914798</v>
      </c>
      <c r="U9" s="6">
        <f t="shared" si="0"/>
        <v>2.0487216891958999</v>
      </c>
      <c r="V9" s="5">
        <f t="shared" si="6"/>
        <v>-1.5353923249398105E-2</v>
      </c>
      <c r="W9" s="15">
        <f t="shared" ref="W9:W14" si="9">+AVERAGE(D9:E9)</f>
        <v>2.0706056401436896</v>
      </c>
    </row>
    <row r="10" spans="1:23" x14ac:dyDescent="0.25">
      <c r="A10" s="3">
        <v>43191</v>
      </c>
      <c r="B10" s="6">
        <v>2.0342697291345901</v>
      </c>
      <c r="C10" s="6">
        <v>2.07599574299809</v>
      </c>
      <c r="D10" s="6">
        <v>2.0359160416652</v>
      </c>
      <c r="E10" s="6">
        <v>2.1582124246650598</v>
      </c>
      <c r="F10" s="6">
        <v>2.0938625616169202</v>
      </c>
      <c r="G10" s="6">
        <v>2.2722936002777199</v>
      </c>
      <c r="H10" s="6">
        <v>2.0908476210650702</v>
      </c>
      <c r="I10" s="6">
        <v>2.2696619209470601</v>
      </c>
      <c r="J10" s="6">
        <v>2.1320212177362201</v>
      </c>
      <c r="K10" s="6">
        <v>2.1588792841057201</v>
      </c>
      <c r="L10" s="6">
        <v>2.1323305982666101</v>
      </c>
      <c r="M10" s="6">
        <v>2.1585171288544802</v>
      </c>
      <c r="N10" s="1">
        <f t="shared" si="1"/>
        <v>43191</v>
      </c>
      <c r="O10" s="6">
        <f t="shared" si="7"/>
        <v>2.0342697291345901</v>
      </c>
      <c r="P10" s="6">
        <f t="shared" si="8"/>
        <v>2.07599574299809</v>
      </c>
      <c r="Q10" s="6">
        <f t="shared" si="2"/>
        <v>2.0551327360663398</v>
      </c>
      <c r="R10" s="5">
        <f t="shared" si="3"/>
        <v>-7.4726465423304855E-3</v>
      </c>
      <c r="S10" s="6">
        <f t="shared" si="4"/>
        <v>2.0359160416652</v>
      </c>
      <c r="T10" s="6">
        <f t="shared" si="5"/>
        <v>2.1582124246650598</v>
      </c>
      <c r="U10" s="6">
        <f t="shared" si="0"/>
        <v>2.0342697291345901</v>
      </c>
      <c r="V10" s="5">
        <f t="shared" si="6"/>
        <v>3.1408917804603087E-2</v>
      </c>
      <c r="W10" s="15">
        <f t="shared" si="9"/>
        <v>2.0970642331651299</v>
      </c>
    </row>
    <row r="11" spans="1:23" x14ac:dyDescent="0.25">
      <c r="A11" s="3">
        <v>43221</v>
      </c>
      <c r="B11" s="6">
        <v>2.0219912046990598</v>
      </c>
      <c r="C11" s="6">
        <v>2.0765404383146202</v>
      </c>
      <c r="D11" s="6">
        <v>2.02521243061955</v>
      </c>
      <c r="E11" s="6">
        <v>2.18435514939446</v>
      </c>
      <c r="F11" s="6">
        <v>2.06032751959772</v>
      </c>
      <c r="G11" s="6">
        <v>2.2447557390422399</v>
      </c>
      <c r="H11" s="6">
        <v>2.0544939782110898</v>
      </c>
      <c r="I11" s="6">
        <v>2.2395372485493499</v>
      </c>
      <c r="J11" s="6">
        <v>2.1089380054237501</v>
      </c>
      <c r="K11" s="6">
        <v>2.1355216178467602</v>
      </c>
      <c r="L11" s="6">
        <v>2.1089008241084501</v>
      </c>
      <c r="M11" s="6">
        <v>2.1348154932003101</v>
      </c>
      <c r="N11" s="1">
        <f t="shared" si="1"/>
        <v>43221</v>
      </c>
      <c r="O11" s="6">
        <f t="shared" si="7"/>
        <v>2.0219912046990598</v>
      </c>
      <c r="P11" s="6">
        <f t="shared" si="8"/>
        <v>2.0765404383146202</v>
      </c>
      <c r="Q11" s="6">
        <f t="shared" si="2"/>
        <v>2.04926582150684</v>
      </c>
      <c r="R11" s="5">
        <f t="shared" si="3"/>
        <v>-2.8547618635716976E-3</v>
      </c>
      <c r="S11" s="6">
        <f t="shared" si="4"/>
        <v>2.02521243061955</v>
      </c>
      <c r="T11" s="6">
        <f t="shared" si="5"/>
        <v>2.18435514939446</v>
      </c>
      <c r="U11" s="6">
        <f t="shared" si="0"/>
        <v>2.0219912046990598</v>
      </c>
      <c r="V11" s="5">
        <f t="shared" si="6"/>
        <v>1.2113137905531923E-2</v>
      </c>
      <c r="W11" s="15">
        <f t="shared" si="9"/>
        <v>2.104783790007005</v>
      </c>
    </row>
    <row r="12" spans="1:23" x14ac:dyDescent="0.25">
      <c r="A12" s="3">
        <v>43252</v>
      </c>
      <c r="B12" s="6">
        <v>2.0194289406425199</v>
      </c>
      <c r="C12" s="6">
        <v>2.0837971686749701</v>
      </c>
      <c r="D12" s="6">
        <v>2.0242829902712098</v>
      </c>
      <c r="E12" s="6">
        <v>2.21442472567501</v>
      </c>
      <c r="F12" s="6">
        <v>2.0481073494642699</v>
      </c>
      <c r="G12" s="6">
        <v>2.2408829842268601</v>
      </c>
      <c r="H12" s="6">
        <v>2.0393676998274501</v>
      </c>
      <c r="I12" s="6">
        <v>2.2331223703826302</v>
      </c>
      <c r="J12" s="6">
        <v>2.11987306305745</v>
      </c>
      <c r="K12" s="6">
        <v>2.14660363937094</v>
      </c>
      <c r="L12" s="6">
        <v>2.1198538407184002</v>
      </c>
      <c r="M12" s="6">
        <v>2.1459004551597598</v>
      </c>
      <c r="N12" s="1">
        <f t="shared" si="1"/>
        <v>43252</v>
      </c>
      <c r="O12" s="6">
        <f t="shared" si="7"/>
        <v>2.0194289406425199</v>
      </c>
      <c r="P12" s="6">
        <f t="shared" si="8"/>
        <v>2.0837971686749701</v>
      </c>
      <c r="Q12" s="6">
        <f t="shared" si="2"/>
        <v>2.0516130546587448</v>
      </c>
      <c r="R12" s="5">
        <f t="shared" si="3"/>
        <v>1.1454019909329372E-3</v>
      </c>
      <c r="S12" s="6">
        <f t="shared" si="4"/>
        <v>2.0242829902712098</v>
      </c>
      <c r="T12" s="6">
        <f t="shared" si="5"/>
        <v>2.21442472567501</v>
      </c>
      <c r="U12" s="6">
        <f t="shared" si="0"/>
        <v>2.0194289406425199</v>
      </c>
      <c r="V12" s="5">
        <f t="shared" si="6"/>
        <v>1.3765882479726654E-2</v>
      </c>
      <c r="W12" s="15">
        <f t="shared" si="9"/>
        <v>2.1193538579731097</v>
      </c>
    </row>
    <row r="13" spans="1:23" x14ac:dyDescent="0.25">
      <c r="A13" s="3">
        <v>43282</v>
      </c>
      <c r="B13" s="6">
        <v>2.0570011252786999</v>
      </c>
      <c r="C13" s="6">
        <v>2.1328283809597801</v>
      </c>
      <c r="D13" s="6">
        <v>2.0635603460012302</v>
      </c>
      <c r="E13" s="6">
        <v>2.2864955778287901</v>
      </c>
      <c r="F13" s="6">
        <v>2.09546368992839</v>
      </c>
      <c r="G13" s="6">
        <v>2.3003042421793198</v>
      </c>
      <c r="H13" s="6">
        <v>2.08419561923133</v>
      </c>
      <c r="I13" s="6">
        <v>2.2898459874314301</v>
      </c>
      <c r="J13" s="6">
        <v>2.1795041908699799</v>
      </c>
      <c r="K13" s="6">
        <v>2.2069917651654798</v>
      </c>
      <c r="L13" s="6">
        <v>2.1796461525498398</v>
      </c>
      <c r="M13" s="6">
        <v>2.2064436213196599</v>
      </c>
      <c r="N13" s="1">
        <f t="shared" si="1"/>
        <v>43282</v>
      </c>
      <c r="O13" s="6">
        <f t="shared" si="7"/>
        <v>2.0570011252786999</v>
      </c>
      <c r="P13" s="6">
        <f t="shared" si="8"/>
        <v>2.1328283809597801</v>
      </c>
      <c r="Q13" s="6">
        <f t="shared" si="2"/>
        <v>2.0862544134271408</v>
      </c>
      <c r="R13" s="5">
        <f t="shared" ref="R13:R42" si="10">IF(O$3=1,(B13/B12)-1,IF(P$3=1,(C13/C12)-1,(AVERAGE(B13:C13)/AVERAGE(B12:C12)-1)))*(1+R$4)</f>
        <v>1.6884937776026378E-2</v>
      </c>
      <c r="S13" s="6">
        <f t="shared" si="4"/>
        <v>2.0635603460012302</v>
      </c>
      <c r="T13" s="6">
        <f t="shared" si="5"/>
        <v>2.3009097482595462</v>
      </c>
      <c r="U13" s="6">
        <f t="shared" si="0"/>
        <v>2.0570011252786999</v>
      </c>
      <c r="V13" s="5">
        <f t="shared" ref="V13:V21" si="11">IF(S$3=1,(D13/D12)-1,IF(T$3=1,(E13/E12)-1,(AVERAGE(D13:E13)/AVERAGE(D12:E12)-1)))*(1+V$4)</f>
        <v>3.9055300269090584E-2</v>
      </c>
      <c r="W13" s="15">
        <f t="shared" si="9"/>
        <v>2.1750279619150099</v>
      </c>
    </row>
    <row r="14" spans="1:23" x14ac:dyDescent="0.25">
      <c r="A14" s="3">
        <v>43313</v>
      </c>
      <c r="B14" s="6">
        <v>2.0913517860873099</v>
      </c>
      <c r="C14" s="6">
        <v>2.1774519885715198</v>
      </c>
      <c r="D14" s="6">
        <v>2.0997184471596002</v>
      </c>
      <c r="E14" s="6">
        <v>2.35552479177553</v>
      </c>
      <c r="F14" s="6">
        <v>2.15443401345635</v>
      </c>
      <c r="G14" s="6">
        <v>2.37474946762421</v>
      </c>
      <c r="H14" s="6">
        <v>2.1403801017745301</v>
      </c>
      <c r="I14" s="6">
        <v>2.3618171958437402</v>
      </c>
      <c r="J14" s="6">
        <v>2.2050357355727899</v>
      </c>
      <c r="K14" s="6">
        <v>2.2329157674114501</v>
      </c>
      <c r="L14" s="6">
        <v>2.2052127505218002</v>
      </c>
      <c r="M14" s="6">
        <v>2.23238811023149</v>
      </c>
      <c r="N14" s="1">
        <f t="shared" si="1"/>
        <v>43313</v>
      </c>
      <c r="O14" s="6">
        <f t="shared" si="7"/>
        <v>2.0913517860873099</v>
      </c>
      <c r="P14" s="6">
        <f t="shared" si="8"/>
        <v>2.1774519885715198</v>
      </c>
      <c r="Q14" s="6">
        <f t="shared" si="2"/>
        <v>2.1177135295164828</v>
      </c>
      <c r="R14" s="5">
        <f t="shared" si="10"/>
        <v>1.507923285236501E-2</v>
      </c>
      <c r="S14" s="6">
        <f t="shared" si="4"/>
        <v>2.0997184471596002</v>
      </c>
      <c r="T14" s="6">
        <f t="shared" si="5"/>
        <v>2.3842670008997122</v>
      </c>
      <c r="U14" s="6">
        <f t="shared" si="0"/>
        <v>2.0913517860873099</v>
      </c>
      <c r="V14" s="5">
        <f t="shared" si="11"/>
        <v>3.6227954053051813E-2</v>
      </c>
      <c r="W14" s="15">
        <f t="shared" si="9"/>
        <v>2.2276216194675653</v>
      </c>
    </row>
    <row r="15" spans="1:23" x14ac:dyDescent="0.25">
      <c r="A15" s="3">
        <v>43344</v>
      </c>
      <c r="B15" s="6">
        <v>2.12742277417783</v>
      </c>
      <c r="C15" s="6">
        <v>2.2230076184098002</v>
      </c>
      <c r="D15" s="6">
        <v>2.1376623289646899</v>
      </c>
      <c r="E15" s="6">
        <v>2.42354315399484</v>
      </c>
      <c r="F15" s="6">
        <v>2.2163882433636499</v>
      </c>
      <c r="G15" s="6">
        <v>2.4511615861226299</v>
      </c>
      <c r="H15" s="6">
        <v>2.1993933861952502</v>
      </c>
      <c r="I15" s="6">
        <v>2.4353973198933998</v>
      </c>
      <c r="J15" s="6">
        <v>2.16745465422219</v>
      </c>
      <c r="K15" s="6">
        <v>2.1955089740906</v>
      </c>
      <c r="L15" s="6">
        <v>2.1672009084222799</v>
      </c>
      <c r="M15" s="6">
        <v>2.19450731602572</v>
      </c>
      <c r="N15" s="1">
        <f t="shared" si="1"/>
        <v>43344</v>
      </c>
      <c r="O15" s="6">
        <f t="shared" si="7"/>
        <v>2.12742277417783</v>
      </c>
      <c r="P15" s="6">
        <f t="shared" si="8"/>
        <v>2.2230076184098002</v>
      </c>
      <c r="Q15" s="6">
        <f t="shared" si="2"/>
        <v>2.1501088893936764</v>
      </c>
      <c r="R15" s="5">
        <f t="shared" si="10"/>
        <v>1.5297328663990762E-2</v>
      </c>
      <c r="S15" s="6">
        <f t="shared" si="4"/>
        <v>2.1376623289646899</v>
      </c>
      <c r="T15" s="6">
        <f>IF(T$3=1,T14*(1+$V15),E15)</f>
        <v>2.4668849909430279</v>
      </c>
      <c r="U15" s="6">
        <f t="shared" si="0"/>
        <v>2.12742277417783</v>
      </c>
      <c r="V15" s="5">
        <f t="shared" si="11"/>
        <v>3.4651316321594634E-2</v>
      </c>
      <c r="W15" s="21">
        <f>+AVERAGE(C15,E15)</f>
        <v>2.3232753862023201</v>
      </c>
    </row>
    <row r="16" spans="1:23" x14ac:dyDescent="0.25">
      <c r="A16" s="3">
        <v>43374</v>
      </c>
      <c r="B16" s="6">
        <v>2.1195887444184001</v>
      </c>
      <c r="C16" s="6">
        <v>2.2211759581608099</v>
      </c>
      <c r="D16" s="6">
        <v>2.13091466546304</v>
      </c>
      <c r="E16" s="6">
        <v>2.4464186033906898</v>
      </c>
      <c r="F16" s="6">
        <v>2.1740528765475502</v>
      </c>
      <c r="G16" s="6">
        <v>2.41600570496675</v>
      </c>
      <c r="H16" s="6">
        <v>2.1588024362440899</v>
      </c>
      <c r="I16" s="6">
        <v>2.4027839661044199</v>
      </c>
      <c r="J16" s="6">
        <v>2.1539064672459398</v>
      </c>
      <c r="K16" s="6">
        <v>2.1972825425450502</v>
      </c>
      <c r="L16" s="6">
        <v>2.1517561574744102</v>
      </c>
      <c r="M16" s="6">
        <v>2.28402553384633</v>
      </c>
      <c r="N16" s="1">
        <f t="shared" si="1"/>
        <v>43374</v>
      </c>
      <c r="O16" s="6">
        <f t="shared" si="7"/>
        <v>2.1195887444184001</v>
      </c>
      <c r="P16" s="6">
        <f t="shared" si="8"/>
        <v>2.2211759581608099</v>
      </c>
      <c r="Q16" s="6">
        <f t="shared" si="2"/>
        <v>2.1462872379001348</v>
      </c>
      <c r="R16" s="5">
        <f t="shared" si="10"/>
        <v>-1.7774223028395042E-3</v>
      </c>
      <c r="S16" s="6">
        <f t="shared" si="4"/>
        <v>2.13091466546304</v>
      </c>
      <c r="T16" s="6">
        <f t="shared" si="5"/>
        <v>2.4948264465012739</v>
      </c>
      <c r="U16" s="6">
        <f t="shared" si="0"/>
        <v>2.1195887444184001</v>
      </c>
      <c r="V16" s="5">
        <f t="shared" si="11"/>
        <v>1.1326614601341678E-2</v>
      </c>
      <c r="W16" s="21">
        <f>+AVERAGE(C16,E16)</f>
        <v>2.3337972807757499</v>
      </c>
    </row>
    <row r="17" spans="1:24" x14ac:dyDescent="0.25">
      <c r="A17" s="3">
        <v>43405</v>
      </c>
      <c r="B17" s="6">
        <v>2.0993457269039402</v>
      </c>
      <c r="C17" s="6">
        <v>2.2073174579873198</v>
      </c>
      <c r="D17" s="6">
        <v>2.1117145459381699</v>
      </c>
      <c r="E17" s="6">
        <v>2.4617423627484101</v>
      </c>
      <c r="F17" s="6">
        <v>2.1199672582445799</v>
      </c>
      <c r="G17" s="6">
        <v>2.3702642576608102</v>
      </c>
      <c r="H17" s="6">
        <v>2.1065277969912799</v>
      </c>
      <c r="I17" s="6">
        <v>2.35967077680233</v>
      </c>
      <c r="J17" s="6">
        <v>2.12507525273341</v>
      </c>
      <c r="K17" s="6">
        <v>2.1862919146346398</v>
      </c>
      <c r="L17" s="6">
        <v>2.1208336372107701</v>
      </c>
      <c r="M17" s="6">
        <v>2.31628604597155</v>
      </c>
      <c r="N17" s="1">
        <f t="shared" si="1"/>
        <v>43405</v>
      </c>
      <c r="O17" s="6">
        <f t="shared" si="7"/>
        <v>2.0993457269039402</v>
      </c>
      <c r="P17" s="6">
        <f t="shared" si="8"/>
        <v>2.2073174579873198</v>
      </c>
      <c r="Q17" s="6">
        <f t="shared" si="2"/>
        <v>2.1327980658815395</v>
      </c>
      <c r="R17" s="5">
        <f t="shared" si="10"/>
        <v>-6.2848866546832312E-3</v>
      </c>
      <c r="S17" s="6">
        <f t="shared" si="4"/>
        <v>2.1117145459381699</v>
      </c>
      <c r="T17" s="6">
        <f t="shared" si="5"/>
        <v>2.5135788153979832</v>
      </c>
      <c r="U17" s="6">
        <f t="shared" si="0"/>
        <v>2.0993457269039402</v>
      </c>
      <c r="V17" s="5">
        <f t="shared" si="11"/>
        <v>7.5165023695365814E-3</v>
      </c>
      <c r="W17" s="21">
        <f>+AVERAGE(C17,E17)</f>
        <v>2.3345299103678649</v>
      </c>
    </row>
    <row r="18" spans="1:24" x14ac:dyDescent="0.25">
      <c r="A18" s="3">
        <v>43435</v>
      </c>
      <c r="B18" s="6">
        <v>2.0138196301201501</v>
      </c>
      <c r="C18" s="6">
        <v>2.1252230604761002</v>
      </c>
      <c r="D18" s="6">
        <v>2.0267536776023198</v>
      </c>
      <c r="E18" s="6">
        <v>2.3979283678518901</v>
      </c>
      <c r="F18" s="6">
        <v>2.0533740632278801</v>
      </c>
      <c r="G18" s="6">
        <v>2.3070123732396501</v>
      </c>
      <c r="H18" s="6">
        <v>2.0416995483579599</v>
      </c>
      <c r="I18" s="6">
        <v>2.2981481657009</v>
      </c>
      <c r="J18" s="6">
        <v>2.0327717805147598</v>
      </c>
      <c r="K18" s="6">
        <v>2.1052850489047898</v>
      </c>
      <c r="L18" s="6">
        <v>2.0270649997085699</v>
      </c>
      <c r="M18" s="6">
        <v>2.26557210725124</v>
      </c>
      <c r="N18" s="1">
        <f t="shared" si="1"/>
        <v>43435</v>
      </c>
      <c r="O18" s="6">
        <f t="shared" si="7"/>
        <v>2.0138196301201501</v>
      </c>
      <c r="P18" s="6">
        <f t="shared" si="8"/>
        <v>2.1252230604761002</v>
      </c>
      <c r="Q18" s="6">
        <f t="shared" si="2"/>
        <v>2.0663892197402958</v>
      </c>
      <c r="R18" s="5">
        <f t="shared" si="10"/>
        <v>-3.1136959097811001E-2</v>
      </c>
      <c r="S18" s="6">
        <f t="shared" si="4"/>
        <v>2.0267536776023198</v>
      </c>
      <c r="T18" s="6">
        <f t="shared" si="5"/>
        <v>2.4353895581669898</v>
      </c>
      <c r="U18" s="6">
        <f t="shared" si="0"/>
        <v>2.0138196301201501</v>
      </c>
      <c r="V18" s="5">
        <f t="shared" si="11"/>
        <v>-3.1106745788917499E-2</v>
      </c>
      <c r="W18" s="16">
        <f t="shared" ref="W18:W42" si="12">+T18</f>
        <v>2.4353895581669898</v>
      </c>
    </row>
    <row r="19" spans="1:24" x14ac:dyDescent="0.25">
      <c r="A19" s="3">
        <v>43466</v>
      </c>
      <c r="B19" s="6">
        <v>2.0396202522616198</v>
      </c>
      <c r="C19" s="6">
        <v>2.1583528718561098</v>
      </c>
      <c r="D19" s="6">
        <v>2.0555510816292299</v>
      </c>
      <c r="E19" s="6">
        <v>2.4509205130710301</v>
      </c>
      <c r="F19" s="6">
        <v>2.1042662543194499</v>
      </c>
      <c r="G19" s="6">
        <v>2.3690237956831002</v>
      </c>
      <c r="H19" s="6">
        <v>2.0855332674487701</v>
      </c>
      <c r="I19" s="6">
        <v>2.3543626638737001</v>
      </c>
      <c r="J19" s="6">
        <v>2.0597997766635601</v>
      </c>
      <c r="K19" s="6">
        <v>2.1414322299395701</v>
      </c>
      <c r="L19" s="6">
        <v>2.0532673144092</v>
      </c>
      <c r="M19" s="6">
        <v>2.32353795103929</v>
      </c>
      <c r="N19" s="1">
        <f t="shared" si="1"/>
        <v>43466</v>
      </c>
      <c r="O19" s="6">
        <f t="shared" si="7"/>
        <v>2.0396202522616198</v>
      </c>
      <c r="P19" s="6">
        <f t="shared" si="8"/>
        <v>2.1583528718561098</v>
      </c>
      <c r="Q19" s="6">
        <f t="shared" si="2"/>
        <v>2.0899257177464787</v>
      </c>
      <c r="R19" s="5">
        <f t="shared" si="10"/>
        <v>1.1390157179169337E-2</v>
      </c>
      <c r="S19" s="6">
        <f t="shared" si="4"/>
        <v>2.0555510816292299</v>
      </c>
      <c r="T19" s="6">
        <f t="shared" si="5"/>
        <v>2.4999735643592214</v>
      </c>
      <c r="U19" s="6">
        <f t="shared" si="0"/>
        <v>2.0396202522616198</v>
      </c>
      <c r="V19" s="5">
        <f t="shared" si="11"/>
        <v>2.6518963249904635E-2</v>
      </c>
      <c r="W19" s="16">
        <f t="shared" si="12"/>
        <v>2.4999735643592214</v>
      </c>
    </row>
    <row r="20" spans="1:24" x14ac:dyDescent="0.25">
      <c r="A20" s="3">
        <v>43497</v>
      </c>
      <c r="B20" s="6">
        <v>2.0262308712116202</v>
      </c>
      <c r="C20" s="6">
        <v>2.1508971073340302</v>
      </c>
      <c r="D20" s="6">
        <v>2.0448734879749102</v>
      </c>
      <c r="E20" s="6">
        <v>2.4701372651692499</v>
      </c>
      <c r="F20" s="6">
        <v>2.0690438276652001</v>
      </c>
      <c r="G20" s="6">
        <v>2.33725123153785</v>
      </c>
      <c r="H20" s="6">
        <v>2.0439901200671802</v>
      </c>
      <c r="I20" s="6">
        <v>2.3181450852749301</v>
      </c>
      <c r="J20" s="6">
        <v>2.0437103563776202</v>
      </c>
      <c r="K20" s="6">
        <v>2.1346459887279101</v>
      </c>
      <c r="L20" s="6">
        <v>2.0356311994071299</v>
      </c>
      <c r="M20" s="6">
        <v>2.3447558453299902</v>
      </c>
      <c r="N20" s="1">
        <f t="shared" si="1"/>
        <v>43497</v>
      </c>
      <c r="O20" s="6">
        <f t="shared" si="7"/>
        <v>2.0262308712116202</v>
      </c>
      <c r="P20" s="6">
        <f t="shared" si="8"/>
        <v>2.1508971073340302</v>
      </c>
      <c r="Q20" s="6">
        <f t="shared" si="2"/>
        <v>2.0816236530055736</v>
      </c>
      <c r="R20" s="5">
        <f t="shared" si="10"/>
        <v>-3.972420967122847E-3</v>
      </c>
      <c r="S20" s="6">
        <f t="shared" si="4"/>
        <v>2.0448734879749102</v>
      </c>
      <c r="T20" s="6">
        <f t="shared" si="5"/>
        <v>2.5234951948562614</v>
      </c>
      <c r="U20" s="6">
        <f t="shared" si="0"/>
        <v>2.0262308712116202</v>
      </c>
      <c r="V20" s="5">
        <f t="shared" si="11"/>
        <v>9.4087516893678995E-3</v>
      </c>
      <c r="W20" s="16">
        <f t="shared" si="12"/>
        <v>2.5234951948562614</v>
      </c>
    </row>
    <row r="21" spans="1:24" x14ac:dyDescent="0.25">
      <c r="A21" s="3">
        <v>43525</v>
      </c>
      <c r="B21" s="6">
        <v>1.9566527299221499</v>
      </c>
      <c r="C21" s="6">
        <v>2.0833770978830501</v>
      </c>
      <c r="D21" s="6">
        <v>1.97711487178532</v>
      </c>
      <c r="E21" s="6">
        <v>2.4181469804137099</v>
      </c>
      <c r="F21" s="6">
        <v>1.96182675031497</v>
      </c>
      <c r="G21" s="6">
        <v>2.2248600772691698</v>
      </c>
      <c r="H21" s="6">
        <v>1.9324070704796099</v>
      </c>
      <c r="I21" s="6">
        <v>2.20329199661382</v>
      </c>
      <c r="J21" s="6">
        <v>1.9707103764378899</v>
      </c>
      <c r="K21" s="6">
        <v>2.0673569481787699</v>
      </c>
      <c r="L21" s="6">
        <v>1.96150920174003</v>
      </c>
      <c r="M21" s="6">
        <v>2.2972122882610799</v>
      </c>
      <c r="N21" s="1">
        <f t="shared" si="1"/>
        <v>43525</v>
      </c>
      <c r="O21" s="6">
        <f t="shared" si="7"/>
        <v>1.9566527299221499</v>
      </c>
      <c r="P21" s="6">
        <f t="shared" si="8"/>
        <v>2.0833770978830501</v>
      </c>
      <c r="Q21" s="6">
        <f t="shared" si="2"/>
        <v>2.0269666245725575</v>
      </c>
      <c r="R21" s="5">
        <f t="shared" si="10"/>
        <v>-2.625692129991837E-2</v>
      </c>
      <c r="S21" s="6">
        <f t="shared" si="4"/>
        <v>1.97711487178532</v>
      </c>
      <c r="T21" s="6">
        <f t="shared" si="5"/>
        <v>2.4597591900877211</v>
      </c>
      <c r="U21" s="6">
        <f>O21</f>
        <v>1.9566527299221499</v>
      </c>
      <c r="V21" s="5">
        <f t="shared" si="11"/>
        <v>-2.5257034330184558E-2</v>
      </c>
      <c r="W21" s="16">
        <f t="shared" si="12"/>
        <v>2.4597591900877211</v>
      </c>
    </row>
    <row r="22" spans="1:24" x14ac:dyDescent="0.25">
      <c r="A22" s="3">
        <v>43556</v>
      </c>
      <c r="B22" s="6">
        <v>1.9454545671952299</v>
      </c>
      <c r="C22" s="6">
        <v>2.08005122717949</v>
      </c>
      <c r="D22" s="6">
        <v>1.96686005899507</v>
      </c>
      <c r="E22" s="6">
        <v>2.4330436294787399</v>
      </c>
      <c r="F22" s="6">
        <v>1.94046018444505</v>
      </c>
      <c r="G22" s="6">
        <v>2.2085367052646498</v>
      </c>
      <c r="H22" s="6">
        <v>1.9086087615612599</v>
      </c>
      <c r="I22" s="6">
        <v>2.1847186144963699</v>
      </c>
      <c r="J22" s="6">
        <v>1.9792755936961299</v>
      </c>
      <c r="K22" s="6">
        <v>2.0830796729916501</v>
      </c>
      <c r="L22" s="6">
        <v>1.9691570713945701</v>
      </c>
      <c r="M22" s="6">
        <v>2.3320018163866698</v>
      </c>
      <c r="N22" s="1">
        <f t="shared" si="1"/>
        <v>43556</v>
      </c>
      <c r="O22" s="6">
        <f t="shared" si="7"/>
        <v>1.9454545671952299</v>
      </c>
      <c r="P22" s="6">
        <f t="shared" si="8"/>
        <v>2.08005122717949</v>
      </c>
      <c r="Q22" s="6">
        <f t="shared" si="2"/>
        <v>2.0211370179067565</v>
      </c>
      <c r="R22" s="5">
        <f t="shared" si="10"/>
        <v>-2.8760249898195592E-3</v>
      </c>
      <c r="S22" s="6">
        <f t="shared" si="4"/>
        <v>1.96686005899507</v>
      </c>
      <c r="T22" s="6">
        <f t="shared" si="5"/>
        <v>2.474912185226565</v>
      </c>
      <c r="U22" s="6">
        <f t="shared" ref="U22:U42" si="13">IF(U$3=1,U21*(1+$V22),AVERAGE(D22:E22))</f>
        <v>1.968706409576807</v>
      </c>
      <c r="V22" s="14">
        <f>IF(S$3=1,(D22/D21)-1,IF(T$3=1,(E22/E21)-1,(AVERAGE(S22:T22)/AVERAGE(S21:T21)-1)))</f>
        <v>6.1603571601265283E-3</v>
      </c>
      <c r="W22" s="16">
        <f t="shared" si="12"/>
        <v>2.474912185226565</v>
      </c>
      <c r="X22" s="5"/>
    </row>
    <row r="23" spans="1:24" x14ac:dyDescent="0.25">
      <c r="A23" s="3">
        <v>43586</v>
      </c>
      <c r="B23" s="6">
        <v>1.93472160564234</v>
      </c>
      <c r="C23" s="6">
        <v>2.07636792124543</v>
      </c>
      <c r="D23" s="6">
        <v>1.9570301334337299</v>
      </c>
      <c r="E23" s="6">
        <v>2.4452984508494402</v>
      </c>
      <c r="F23" s="6">
        <v>1.9111578664867599</v>
      </c>
      <c r="G23" s="6">
        <v>2.1815320549302801</v>
      </c>
      <c r="H23" s="6">
        <v>1.87716797945061</v>
      </c>
      <c r="I23" s="6">
        <v>2.1553341101811401</v>
      </c>
      <c r="J23" s="6">
        <v>1.96507141914946</v>
      </c>
      <c r="K23" s="6">
        <v>2.0746459535971198</v>
      </c>
      <c r="L23" s="6">
        <v>1.9541976319727701</v>
      </c>
      <c r="M23" s="6">
        <v>2.3387852051065199</v>
      </c>
      <c r="N23" s="1">
        <f t="shared" si="1"/>
        <v>43586</v>
      </c>
      <c r="O23" s="6">
        <f t="shared" si="7"/>
        <v>1.93472160564234</v>
      </c>
      <c r="P23" s="6">
        <f t="shared" si="8"/>
        <v>2.07636792124543</v>
      </c>
      <c r="Q23" s="6">
        <f t="shared" si="2"/>
        <v>2.0153464905313125</v>
      </c>
      <c r="R23" s="5">
        <f t="shared" si="10"/>
        <v>-2.8649850673860833E-3</v>
      </c>
      <c r="S23" s="6">
        <f t="shared" si="4"/>
        <v>1.9570301334337299</v>
      </c>
      <c r="T23" s="6">
        <f t="shared" si="5"/>
        <v>2.4873778912955595</v>
      </c>
      <c r="U23" s="6">
        <f t="shared" si="13"/>
        <v>1.9786224444100524</v>
      </c>
      <c r="V23" s="14">
        <f t="shared" ref="V23:V25" si="14">IF(S$3=1,(D23/D22)-1,IF(T$3=1,(E23/E22)-1,(AVERAGE(S23:T23)/AVERAGE(S22:T22)-1)))</f>
        <v>5.0368276270187362E-3</v>
      </c>
      <c r="W23" s="16">
        <f t="shared" si="12"/>
        <v>2.4873778912955595</v>
      </c>
      <c r="X23" s="5"/>
    </row>
    <row r="24" spans="1:24" x14ac:dyDescent="0.25">
      <c r="A24" s="3">
        <v>43617</v>
      </c>
      <c r="B24" s="6">
        <v>1.9333122990481499</v>
      </c>
      <c r="C24" s="6">
        <v>2.0827962388376702</v>
      </c>
      <c r="D24" s="6">
        <v>1.9566595342040201</v>
      </c>
      <c r="E24" s="6">
        <v>2.4780567299960699</v>
      </c>
      <c r="F24" s="6">
        <v>1.9016483347694499</v>
      </c>
      <c r="G24" s="6">
        <v>2.1784788625787002</v>
      </c>
      <c r="H24" s="6">
        <v>1.8651381004457701</v>
      </c>
      <c r="I24" s="6">
        <v>2.1501111087684999</v>
      </c>
      <c r="J24" s="6">
        <v>1.96382042641201</v>
      </c>
      <c r="K24" s="6">
        <v>2.0805788741606701</v>
      </c>
      <c r="L24" s="6">
        <v>1.9516619152472801</v>
      </c>
      <c r="M24" s="6">
        <v>2.3683786483735898</v>
      </c>
      <c r="N24" s="1">
        <f t="shared" si="1"/>
        <v>43617</v>
      </c>
      <c r="O24" s="6">
        <f t="shared" si="7"/>
        <v>1.9333122990481499</v>
      </c>
      <c r="P24" s="6">
        <f t="shared" si="8"/>
        <v>2.0827962388376702</v>
      </c>
      <c r="Q24" s="6">
        <f t="shared" si="2"/>
        <v>2.0173639067237068</v>
      </c>
      <c r="R24" s="5">
        <f t="shared" si="10"/>
        <v>1.0010269707333209E-3</v>
      </c>
      <c r="S24" s="6">
        <f t="shared" si="4"/>
        <v>1.9566595342040201</v>
      </c>
      <c r="T24" s="6">
        <f t="shared" si="5"/>
        <v>2.5206998848861213</v>
      </c>
      <c r="U24" s="6">
        <f t="shared" si="13"/>
        <v>2.0051289292676597</v>
      </c>
      <c r="V24" s="14">
        <f t="shared" si="14"/>
        <v>1.3396433934373286E-2</v>
      </c>
      <c r="W24" s="16">
        <f t="shared" si="12"/>
        <v>2.5206998848861213</v>
      </c>
      <c r="X24" s="5"/>
    </row>
    <row r="25" spans="1:24" x14ac:dyDescent="0.25">
      <c r="A25" s="3">
        <v>43647</v>
      </c>
      <c r="B25" s="6">
        <v>1.9677411717933899</v>
      </c>
      <c r="C25" s="6">
        <v>2.12733301389467</v>
      </c>
      <c r="D25" s="6">
        <v>1.9935840407363901</v>
      </c>
      <c r="E25" s="6">
        <v>2.5440979029200599</v>
      </c>
      <c r="F25" s="6">
        <v>1.94833320985763</v>
      </c>
      <c r="G25" s="6">
        <v>2.2368203606663499</v>
      </c>
      <c r="H25" s="6">
        <v>1.9123483583099199</v>
      </c>
      <c r="I25" s="6">
        <v>2.2073237509126198</v>
      </c>
      <c r="J25" s="6">
        <v>2.00583032645822</v>
      </c>
      <c r="K25" s="6">
        <v>2.1309111693239702</v>
      </c>
      <c r="L25" s="6">
        <v>1.9928127967409699</v>
      </c>
      <c r="M25" s="6">
        <v>2.4374107025581302</v>
      </c>
      <c r="N25" s="1">
        <f t="shared" si="1"/>
        <v>43647</v>
      </c>
      <c r="O25" s="6">
        <f t="shared" si="7"/>
        <v>1.9677411717933899</v>
      </c>
      <c r="P25" s="6">
        <f t="shared" si="8"/>
        <v>2.12733301389467</v>
      </c>
      <c r="Q25" s="6">
        <f t="shared" si="2"/>
        <v>2.0490966044323509</v>
      </c>
      <c r="R25" s="5">
        <f t="shared" si="10"/>
        <v>1.5729783606657045E-2</v>
      </c>
      <c r="S25" s="6">
        <f t="shared" si="4"/>
        <v>1.9935840407363901</v>
      </c>
      <c r="T25" s="6">
        <f t="shared" si="5"/>
        <v>2.5878775144263093</v>
      </c>
      <c r="U25" s="6">
        <f t="shared" si="13"/>
        <v>2.0585663928857225</v>
      </c>
      <c r="V25" s="14">
        <f t="shared" si="14"/>
        <v>2.6650387831958389E-2</v>
      </c>
      <c r="W25" s="16">
        <f t="shared" si="12"/>
        <v>2.5878775144263093</v>
      </c>
      <c r="X25" s="5"/>
    </row>
    <row r="26" spans="1:24" x14ac:dyDescent="0.25">
      <c r="A26" s="3">
        <v>43678</v>
      </c>
      <c r="B26" s="6">
        <v>1.99898349019241</v>
      </c>
      <c r="C26" s="6">
        <v>2.1690870467070398</v>
      </c>
      <c r="D26" s="6">
        <v>2.0274223037999102</v>
      </c>
      <c r="E26" s="6">
        <v>2.61479982554164</v>
      </c>
      <c r="F26" s="6">
        <v>2.0060515044761602</v>
      </c>
      <c r="G26" s="6">
        <v>2.3111782679078199</v>
      </c>
      <c r="H26" s="6">
        <v>1.9705143741417801</v>
      </c>
      <c r="I26" s="6">
        <v>2.2815898160455501</v>
      </c>
      <c r="J26" s="6">
        <v>2.04032478702316</v>
      </c>
      <c r="K26" s="6">
        <v>2.1741582029817899</v>
      </c>
      <c r="L26" s="6">
        <v>2.0261466880856802</v>
      </c>
      <c r="M26" s="6">
        <v>2.5047659281550101</v>
      </c>
      <c r="N26" s="1">
        <f t="shared" si="1"/>
        <v>43678</v>
      </c>
      <c r="O26" s="6">
        <f t="shared" si="7"/>
        <v>1.99898349019241</v>
      </c>
      <c r="P26" s="6">
        <f t="shared" si="8"/>
        <v>2.1690870467070398</v>
      </c>
      <c r="Q26" s="6">
        <f t="shared" si="2"/>
        <v>2.0783173840560201</v>
      </c>
      <c r="R26" s="5">
        <f t="shared" si="10"/>
        <v>1.4260323090898908E-2</v>
      </c>
      <c r="S26" s="6">
        <f t="shared" si="4"/>
        <v>2.0274223037999102</v>
      </c>
      <c r="T26" s="6">
        <f t="shared" si="5"/>
        <v>2.6741798138318895</v>
      </c>
      <c r="U26" s="6">
        <f t="shared" si="13"/>
        <v>2.1272168650176977</v>
      </c>
      <c r="V26" s="14">
        <f t="shared" ref="V26:V42" si="15">IF(S$3=1,(D26/D25)-1,IF(T$3=1,(E26/E25)-1,(AVERAGE(E26)/AVERAGE(E25)-1)))*(1+V$4)</f>
        <v>3.3348680115067975E-2</v>
      </c>
      <c r="W26" s="16">
        <f t="shared" si="12"/>
        <v>2.6741798138318895</v>
      </c>
      <c r="X26" s="5"/>
    </row>
    <row r="27" spans="1:24" x14ac:dyDescent="0.25">
      <c r="A27" s="3">
        <v>43709</v>
      </c>
      <c r="B27" s="6">
        <v>2.0318170109417801</v>
      </c>
      <c r="C27" s="6">
        <v>2.21240810526858</v>
      </c>
      <c r="D27" s="6">
        <v>2.0629468627874799</v>
      </c>
      <c r="E27" s="6">
        <v>2.6855674702860002</v>
      </c>
      <c r="F27" s="6">
        <v>2.0667146059789401</v>
      </c>
      <c r="G27" s="6">
        <v>2.3876408052202902</v>
      </c>
      <c r="H27" s="6">
        <v>2.0316635585017599</v>
      </c>
      <c r="I27" s="6">
        <v>2.3576785026191902</v>
      </c>
      <c r="J27" s="6">
        <v>2.0560264590834199</v>
      </c>
      <c r="K27" s="6">
        <v>2.19706050547707</v>
      </c>
      <c r="L27" s="6">
        <v>2.04076776443129</v>
      </c>
      <c r="M27" s="6">
        <v>2.5471203662387798</v>
      </c>
      <c r="N27" s="1">
        <f t="shared" si="1"/>
        <v>43709</v>
      </c>
      <c r="O27" s="6">
        <f t="shared" si="7"/>
        <v>2.0318170109417801</v>
      </c>
      <c r="P27" s="6">
        <f t="shared" si="8"/>
        <v>2.21240810526858</v>
      </c>
      <c r="Q27" s="6">
        <f t="shared" si="2"/>
        <v>2.108695638868392</v>
      </c>
      <c r="R27" s="5">
        <f t="shared" si="10"/>
        <v>1.4616754421351175E-2</v>
      </c>
      <c r="S27" s="6">
        <f t="shared" si="4"/>
        <v>2.0629468627874799</v>
      </c>
      <c r="T27" s="6">
        <f t="shared" si="5"/>
        <v>2.7610294786662948</v>
      </c>
      <c r="U27" s="6">
        <f t="shared" si="13"/>
        <v>2.1963027472763601</v>
      </c>
      <c r="V27" s="14">
        <f t="shared" si="15"/>
        <v>3.2477122288181712E-2</v>
      </c>
      <c r="W27" s="16">
        <f t="shared" si="12"/>
        <v>2.7610294786662948</v>
      </c>
      <c r="X27" s="5"/>
    </row>
    <row r="28" spans="1:24" x14ac:dyDescent="0.25">
      <c r="A28" s="3">
        <v>43739</v>
      </c>
      <c r="B28" s="6">
        <v>2.02380104431281</v>
      </c>
      <c r="C28" s="6">
        <v>2.21103052648651</v>
      </c>
      <c r="D28" s="6">
        <v>2.05535025937073</v>
      </c>
      <c r="E28" s="6">
        <v>2.7147688276622501</v>
      </c>
      <c r="F28" s="6">
        <v>2.03238900198938</v>
      </c>
      <c r="G28" s="6">
        <v>2.3588803468833701</v>
      </c>
      <c r="H28" s="6">
        <v>1.99979873583808</v>
      </c>
      <c r="I28" s="6">
        <v>2.3317825484936998</v>
      </c>
      <c r="J28" s="6">
        <v>2.04327702913417</v>
      </c>
      <c r="K28" s="6">
        <v>2.1934076594576202</v>
      </c>
      <c r="L28" s="6">
        <v>2.02610875065748</v>
      </c>
      <c r="M28" s="6">
        <v>2.5802586240813201</v>
      </c>
      <c r="N28" s="1">
        <f t="shared" si="1"/>
        <v>43739</v>
      </c>
      <c r="O28" s="6">
        <f t="shared" si="7"/>
        <v>2.02380104431281</v>
      </c>
      <c r="P28" s="6">
        <f t="shared" si="8"/>
        <v>2.21103052648651</v>
      </c>
      <c r="Q28" s="6">
        <f t="shared" si="2"/>
        <v>2.1049619767370187</v>
      </c>
      <c r="R28" s="5">
        <f t="shared" si="10"/>
        <v>-1.7706026714110479E-3</v>
      </c>
      <c r="S28" s="6">
        <f t="shared" si="4"/>
        <v>2.05535025937073</v>
      </c>
      <c r="T28" s="6">
        <f t="shared" si="5"/>
        <v>2.7970557454832554</v>
      </c>
      <c r="U28" s="6">
        <f t="shared" si="13"/>
        <v>2.2249603872601327</v>
      </c>
      <c r="V28" s="14">
        <f t="shared" si="15"/>
        <v>1.3048128277994042E-2</v>
      </c>
      <c r="W28" s="16">
        <f t="shared" si="12"/>
        <v>2.7970557454832554</v>
      </c>
      <c r="X28" s="5"/>
    </row>
    <row r="29" spans="1:24" x14ac:dyDescent="0.25">
      <c r="A29" s="3">
        <v>43770</v>
      </c>
      <c r="B29" s="6">
        <v>2.00392646274635</v>
      </c>
      <c r="C29" s="6">
        <v>2.1971373920512498</v>
      </c>
      <c r="D29" s="6">
        <v>2.0357207480288002</v>
      </c>
      <c r="E29" s="6">
        <v>2.7337743600135802</v>
      </c>
      <c r="F29" s="6">
        <v>1.9870311936294101</v>
      </c>
      <c r="G29" s="6">
        <v>2.3191904522487201</v>
      </c>
      <c r="H29" s="6">
        <v>1.9570679979529599</v>
      </c>
      <c r="I29" s="6">
        <v>2.2954438274567099</v>
      </c>
      <c r="J29" s="6">
        <v>2.0160308981885402</v>
      </c>
      <c r="K29" s="6">
        <v>2.1743295304279102</v>
      </c>
      <c r="L29" s="6">
        <v>1.99687446354721</v>
      </c>
      <c r="M29" s="6">
        <v>2.60088392420207</v>
      </c>
      <c r="N29" s="1">
        <f t="shared" si="1"/>
        <v>43770</v>
      </c>
      <c r="O29" s="6">
        <f t="shared" si="7"/>
        <v>2.00392646274635</v>
      </c>
      <c r="P29" s="6">
        <f t="shared" si="8"/>
        <v>2.1971373920512498</v>
      </c>
      <c r="Q29" s="6">
        <f t="shared" si="2"/>
        <v>2.0915343337176369</v>
      </c>
      <c r="R29" s="5">
        <f t="shared" si="10"/>
        <v>-6.3790430267992807E-3</v>
      </c>
      <c r="S29" s="6">
        <f t="shared" si="4"/>
        <v>2.0357207480288002</v>
      </c>
      <c r="T29" s="6">
        <f t="shared" si="5"/>
        <v>2.820553672636795</v>
      </c>
      <c r="U29" s="6">
        <f t="shared" si="13"/>
        <v>2.2436521695686462</v>
      </c>
      <c r="V29" s="14">
        <f t="shared" si="15"/>
        <v>8.4009506036783147E-3</v>
      </c>
      <c r="W29" s="16">
        <f t="shared" si="12"/>
        <v>2.820553672636795</v>
      </c>
      <c r="X29" s="5"/>
    </row>
    <row r="30" spans="1:24" x14ac:dyDescent="0.25">
      <c r="A30" s="3">
        <v>43800</v>
      </c>
      <c r="B30" s="6">
        <v>1.9217806130536901</v>
      </c>
      <c r="C30" s="6">
        <v>2.1147452058977501</v>
      </c>
      <c r="D30" s="6">
        <v>1.9527866950572299</v>
      </c>
      <c r="E30" s="6">
        <v>2.6604652170663199</v>
      </c>
      <c r="F30" s="6">
        <v>1.9295039235125899</v>
      </c>
      <c r="G30" s="6">
        <v>2.26118571452872</v>
      </c>
      <c r="H30" s="6">
        <v>1.90219514001771</v>
      </c>
      <c r="I30" s="6">
        <v>2.2397211788090901</v>
      </c>
      <c r="J30" s="6">
        <v>1.92856031821721</v>
      </c>
      <c r="K30" s="6">
        <v>2.0890133456720301</v>
      </c>
      <c r="L30" s="6">
        <v>1.9084778399488</v>
      </c>
      <c r="M30" s="6">
        <v>2.53424518362884</v>
      </c>
      <c r="N30" s="1">
        <f t="shared" si="1"/>
        <v>43800</v>
      </c>
      <c r="O30" s="6">
        <f t="shared" si="7"/>
        <v>1.9217806130536901</v>
      </c>
      <c r="P30" s="6">
        <f t="shared" si="8"/>
        <v>2.1147452058977501</v>
      </c>
      <c r="Q30" s="6">
        <f t="shared" si="2"/>
        <v>2.0260010377584807</v>
      </c>
      <c r="R30" s="5">
        <f t="shared" si="10"/>
        <v>-3.1332641737069976E-2</v>
      </c>
      <c r="S30" s="6">
        <f t="shared" si="4"/>
        <v>1.9527866950572299</v>
      </c>
      <c r="T30" s="6">
        <f t="shared" si="5"/>
        <v>2.7297902027313752</v>
      </c>
      <c r="U30" s="6">
        <f t="shared" si="13"/>
        <v>2.1714529917453436</v>
      </c>
      <c r="V30" s="14">
        <f t="shared" si="15"/>
        <v>-3.2179309610715377E-2</v>
      </c>
      <c r="W30" s="16">
        <f t="shared" si="12"/>
        <v>2.7297902027313752</v>
      </c>
      <c r="X30" s="5"/>
    </row>
    <row r="31" spans="1:24" x14ac:dyDescent="0.25">
      <c r="A31" s="3">
        <v>43831</v>
      </c>
      <c r="B31" s="6">
        <v>1.94693864361839</v>
      </c>
      <c r="C31" s="6">
        <v>2.14883352936284</v>
      </c>
      <c r="D31" s="6">
        <v>1.97780537641702</v>
      </c>
      <c r="E31" s="6">
        <v>2.7047065158815702</v>
      </c>
      <c r="F31" s="6">
        <v>1.9802406879619601</v>
      </c>
      <c r="G31" s="6">
        <v>2.32439819854857</v>
      </c>
      <c r="H31" s="6">
        <v>1.95355618333628</v>
      </c>
      <c r="I31" s="6">
        <v>2.3024682972867199</v>
      </c>
      <c r="J31" s="6">
        <v>1.95423469290955</v>
      </c>
      <c r="K31" s="6">
        <v>2.1230066173666602</v>
      </c>
      <c r="L31" s="6">
        <v>1.9336186045819701</v>
      </c>
      <c r="M31" s="6">
        <v>2.5836132508685701</v>
      </c>
      <c r="N31" s="1">
        <f t="shared" si="1"/>
        <v>43831</v>
      </c>
      <c r="O31" s="6">
        <f t="shared" si="7"/>
        <v>1.94693864361839</v>
      </c>
      <c r="P31" s="6">
        <f t="shared" si="8"/>
        <v>2.14883352936284</v>
      </c>
      <c r="Q31" s="6">
        <f t="shared" si="2"/>
        <v>2.0497904408504577</v>
      </c>
      <c r="R31" s="5">
        <f t="shared" si="10"/>
        <v>1.1742048818640783E-2</v>
      </c>
      <c r="S31" s="6">
        <f t="shared" si="4"/>
        <v>1.97780537641702</v>
      </c>
      <c r="T31" s="6">
        <f t="shared" si="5"/>
        <v>2.7842631407516603</v>
      </c>
      <c r="U31" s="6">
        <f t="shared" si="13"/>
        <v>2.2147843159309724</v>
      </c>
      <c r="V31" s="14">
        <f t="shared" si="15"/>
        <v>1.9954990667700567E-2</v>
      </c>
      <c r="W31" s="16">
        <f t="shared" si="12"/>
        <v>2.7842631407516603</v>
      </c>
      <c r="X31" s="5"/>
    </row>
    <row r="32" spans="1:24" x14ac:dyDescent="0.25">
      <c r="A32" s="3">
        <v>43862</v>
      </c>
      <c r="B32" s="6">
        <v>1.93469090121025</v>
      </c>
      <c r="C32" s="6">
        <v>2.1423631519395299</v>
      </c>
      <c r="D32" s="6">
        <v>1.9648217880268599</v>
      </c>
      <c r="E32" s="6">
        <v>2.7131497547940602</v>
      </c>
      <c r="F32" s="6">
        <v>1.9499643636589099</v>
      </c>
      <c r="G32" s="6">
        <v>2.29535630875111</v>
      </c>
      <c r="H32" s="6">
        <v>1.92501059910825</v>
      </c>
      <c r="I32" s="6">
        <v>2.27479974111287</v>
      </c>
      <c r="J32" s="6">
        <v>1.9390015963712699</v>
      </c>
      <c r="K32" s="6">
        <v>2.1140501238196601</v>
      </c>
      <c r="L32" s="6">
        <v>1.91747758812272</v>
      </c>
      <c r="M32" s="6">
        <v>2.59777252212813</v>
      </c>
      <c r="N32" s="1">
        <f t="shared" si="1"/>
        <v>43862</v>
      </c>
      <c r="O32" s="6">
        <f t="shared" si="7"/>
        <v>1.93469090121025</v>
      </c>
      <c r="P32" s="6">
        <f t="shared" si="8"/>
        <v>2.1423631519395299</v>
      </c>
      <c r="Q32" s="6">
        <f t="shared" si="2"/>
        <v>2.0422962304343013</v>
      </c>
      <c r="R32" s="5">
        <f t="shared" si="10"/>
        <v>-3.6560861377843423E-3</v>
      </c>
      <c r="S32" s="6">
        <f t="shared" si="4"/>
        <v>1.9648217880268599</v>
      </c>
      <c r="T32" s="6">
        <f t="shared" si="5"/>
        <v>2.7946930482131473</v>
      </c>
      <c r="U32" s="6">
        <f t="shared" si="13"/>
        <v>2.2230809439056101</v>
      </c>
      <c r="V32" s="14">
        <f t="shared" si="15"/>
        <v>3.746020736628974E-3</v>
      </c>
      <c r="W32" s="16">
        <f t="shared" si="12"/>
        <v>2.7946930482131473</v>
      </c>
      <c r="X32" s="5"/>
    </row>
    <row r="33" spans="1:24" x14ac:dyDescent="0.25">
      <c r="A33" s="3">
        <v>43891</v>
      </c>
      <c r="B33" s="6">
        <v>1.8687213230091999</v>
      </c>
      <c r="C33" s="6">
        <v>2.0760601268886698</v>
      </c>
      <c r="D33" s="6">
        <v>1.89735235504255</v>
      </c>
      <c r="E33" s="6">
        <v>2.6444660808984501</v>
      </c>
      <c r="F33" s="6">
        <v>1.8513793931985301</v>
      </c>
      <c r="G33" s="6">
        <v>2.1866660912792399</v>
      </c>
      <c r="H33" s="6">
        <v>1.8288223095766201</v>
      </c>
      <c r="I33" s="6">
        <v>2.1682787787244702</v>
      </c>
      <c r="J33" s="6">
        <v>1.8697693872621699</v>
      </c>
      <c r="K33" s="6">
        <v>2.0457762560800701</v>
      </c>
      <c r="L33" s="6">
        <v>1.84806472488963</v>
      </c>
      <c r="M33" s="6">
        <v>2.5373530189064102</v>
      </c>
      <c r="N33" s="1">
        <f t="shared" si="1"/>
        <v>43891</v>
      </c>
      <c r="O33" s="6">
        <f t="shared" si="7"/>
        <v>1.8687213230091999</v>
      </c>
      <c r="P33" s="6">
        <f t="shared" si="8"/>
        <v>2.0760601268886698</v>
      </c>
      <c r="Q33" s="6">
        <f t="shared" si="2"/>
        <v>1.9892893611626206</v>
      </c>
      <c r="R33" s="5">
        <f t="shared" si="10"/>
        <v>-2.595454492926752E-2</v>
      </c>
      <c r="S33" s="6">
        <f t="shared" si="4"/>
        <v>1.89735235504255</v>
      </c>
      <c r="T33" s="6">
        <f t="shared" si="5"/>
        <v>2.7097955069892778</v>
      </c>
      <c r="U33" s="6">
        <f t="shared" si="13"/>
        <v>2.1555479079609658</v>
      </c>
      <c r="V33" s="14">
        <f t="shared" si="15"/>
        <v>-3.037812731460816E-2</v>
      </c>
      <c r="W33" s="16">
        <f t="shared" si="12"/>
        <v>2.7097955069892778</v>
      </c>
      <c r="X33" s="5"/>
    </row>
    <row r="34" spans="1:24" x14ac:dyDescent="0.25">
      <c r="A34" s="3">
        <v>43922</v>
      </c>
      <c r="B34" s="6">
        <v>1.8585274942227801</v>
      </c>
      <c r="C34" s="6">
        <v>2.0732086212878702</v>
      </c>
      <c r="D34" s="6">
        <v>1.8849680912822</v>
      </c>
      <c r="E34" s="6">
        <v>2.6477528626329598</v>
      </c>
      <c r="F34" s="6">
        <v>1.8347373181489599</v>
      </c>
      <c r="G34" s="6">
        <v>2.1732808710483198</v>
      </c>
      <c r="H34" s="6">
        <v>1.81151270271417</v>
      </c>
      <c r="I34" s="6">
        <v>2.1538193976016302</v>
      </c>
      <c r="J34" s="6">
        <v>1.87789423544437</v>
      </c>
      <c r="K34" s="6">
        <v>2.0605227183816099</v>
      </c>
      <c r="L34" s="6">
        <v>1.85664467163311</v>
      </c>
      <c r="M34" s="6">
        <v>2.5581462690093599</v>
      </c>
      <c r="N34" s="1">
        <f t="shared" si="1"/>
        <v>43922</v>
      </c>
      <c r="O34" s="6">
        <f t="shared" si="7"/>
        <v>1.8585274942227801</v>
      </c>
      <c r="P34" s="6">
        <f t="shared" si="8"/>
        <v>2.0732086212878702</v>
      </c>
      <c r="Q34" s="6">
        <f t="shared" si="2"/>
        <v>1.9840265205740801</v>
      </c>
      <c r="R34" s="5">
        <f t="shared" si="10"/>
        <v>-2.6455882644768284E-3</v>
      </c>
      <c r="S34" s="6">
        <f t="shared" si="4"/>
        <v>1.8849680912822</v>
      </c>
      <c r="T34" s="6">
        <f t="shared" si="5"/>
        <v>2.7138370818573216</v>
      </c>
      <c r="U34" s="6">
        <f t="shared" si="13"/>
        <v>2.1587628399472392</v>
      </c>
      <c r="V34" s="14">
        <f t="shared" si="15"/>
        <v>1.4914685841126206E-3</v>
      </c>
      <c r="W34" s="16">
        <f t="shared" si="12"/>
        <v>2.7138370818573216</v>
      </c>
    </row>
    <row r="35" spans="1:24" x14ac:dyDescent="0.25">
      <c r="A35" s="3">
        <v>43952</v>
      </c>
      <c r="B35" s="6">
        <v>1.84875648451084</v>
      </c>
      <c r="C35" s="6">
        <v>2.0701861141351801</v>
      </c>
      <c r="D35" s="6">
        <v>1.8731018675475299</v>
      </c>
      <c r="E35" s="6">
        <v>2.6504526316386099</v>
      </c>
      <c r="F35" s="6">
        <v>1.81039436915302</v>
      </c>
      <c r="G35" s="6">
        <v>2.1495629205589202</v>
      </c>
      <c r="H35" s="6">
        <v>1.78664723699244</v>
      </c>
      <c r="I35" s="6">
        <v>2.12895846135067</v>
      </c>
      <c r="J35" s="6">
        <v>1.8644160306713</v>
      </c>
      <c r="K35" s="6">
        <v>2.0515282014977601</v>
      </c>
      <c r="L35" s="6">
        <v>1.8438608912308601</v>
      </c>
      <c r="M35" s="6">
        <v>2.55017947644478</v>
      </c>
      <c r="N35" s="1">
        <f t="shared" si="1"/>
        <v>43952</v>
      </c>
      <c r="O35" s="6">
        <f t="shared" si="7"/>
        <v>1.84875648451084</v>
      </c>
      <c r="P35" s="6">
        <f t="shared" si="8"/>
        <v>2.0701861141351801</v>
      </c>
      <c r="Q35" s="6">
        <f t="shared" si="2"/>
        <v>1.9788618450200512</v>
      </c>
      <c r="R35" s="5">
        <f t="shared" si="10"/>
        <v>-2.6031282850667026E-3</v>
      </c>
      <c r="S35" s="6">
        <f t="shared" si="4"/>
        <v>1.8731018675475299</v>
      </c>
      <c r="T35" s="6">
        <f t="shared" si="5"/>
        <v>2.7171576636276442</v>
      </c>
      <c r="U35" s="6">
        <f t="shared" si="13"/>
        <v>2.1614042470459558</v>
      </c>
      <c r="V35" s="14">
        <f t="shared" si="15"/>
        <v>1.2235744704505614E-3</v>
      </c>
      <c r="W35" s="16">
        <f t="shared" si="12"/>
        <v>2.7171576636276442</v>
      </c>
    </row>
    <row r="36" spans="1:24" x14ac:dyDescent="0.25">
      <c r="A36" s="3">
        <v>43983</v>
      </c>
      <c r="B36" s="6">
        <v>1.84790802592695</v>
      </c>
      <c r="C36" s="6">
        <v>2.0775840194332802</v>
      </c>
      <c r="D36" s="6">
        <v>1.8702238945266501</v>
      </c>
      <c r="E36" s="6">
        <v>2.6741482692330898</v>
      </c>
      <c r="F36" s="6">
        <v>1.8048504423957401</v>
      </c>
      <c r="G36" s="6">
        <v>2.1494563661169499</v>
      </c>
      <c r="H36" s="6">
        <v>1.78032071819086</v>
      </c>
      <c r="I36" s="6">
        <v>2.1277782078931802</v>
      </c>
      <c r="J36" s="6">
        <v>1.8632274760993499</v>
      </c>
      <c r="K36" s="6">
        <v>2.05675699456599</v>
      </c>
      <c r="L36" s="6">
        <v>1.84283251402517</v>
      </c>
      <c r="M36" s="6">
        <v>2.5681523128856201</v>
      </c>
      <c r="N36" s="1">
        <f t="shared" si="1"/>
        <v>43983</v>
      </c>
      <c r="O36" s="6">
        <f t="shared" si="7"/>
        <v>1.84790802592695</v>
      </c>
      <c r="P36" s="6">
        <f t="shared" si="8"/>
        <v>2.0775840194332802</v>
      </c>
      <c r="Q36" s="6">
        <f t="shared" si="2"/>
        <v>1.9815075485245059</v>
      </c>
      <c r="R36" s="5">
        <f t="shared" si="10"/>
        <v>1.3369824230593963E-3</v>
      </c>
      <c r="S36" s="6">
        <f t="shared" si="4"/>
        <v>1.8702238945266501</v>
      </c>
      <c r="T36" s="6">
        <f t="shared" si="5"/>
        <v>2.7463080581749693</v>
      </c>
      <c r="U36" s="6">
        <f t="shared" si="13"/>
        <v>2.1845923702163774</v>
      </c>
      <c r="V36" s="14">
        <f t="shared" si="15"/>
        <v>1.0728267607558184E-2</v>
      </c>
      <c r="W36" s="16">
        <f t="shared" si="12"/>
        <v>2.7463080581749693</v>
      </c>
    </row>
    <row r="37" spans="1:24" x14ac:dyDescent="0.25">
      <c r="A37" s="3">
        <v>44013</v>
      </c>
      <c r="B37" s="6">
        <v>1.88130687284633</v>
      </c>
      <c r="C37" s="6">
        <v>2.1225419384609299</v>
      </c>
      <c r="D37" s="6">
        <v>1.90303260282109</v>
      </c>
      <c r="E37" s="6">
        <v>2.7380501066710501</v>
      </c>
      <c r="F37" s="6">
        <v>1.8515671821219</v>
      </c>
      <c r="G37" s="6">
        <v>2.2095540415884698</v>
      </c>
      <c r="H37" s="6">
        <v>1.82538408382935</v>
      </c>
      <c r="I37" s="6">
        <v>2.1854000918825101</v>
      </c>
      <c r="J37" s="6">
        <v>1.9030120450713299</v>
      </c>
      <c r="K37" s="6">
        <v>2.10620345347425</v>
      </c>
      <c r="L37" s="6">
        <v>1.8836463148652101</v>
      </c>
      <c r="M37" s="6">
        <v>2.62498288433925</v>
      </c>
      <c r="N37" s="1">
        <f t="shared" si="1"/>
        <v>44013</v>
      </c>
      <c r="O37" s="6">
        <f t="shared" si="7"/>
        <v>1.88130687284633</v>
      </c>
      <c r="P37" s="6">
        <f t="shared" si="8"/>
        <v>2.1225419384609299</v>
      </c>
      <c r="Q37" s="6">
        <f t="shared" si="2"/>
        <v>2.0131498540307469</v>
      </c>
      <c r="R37" s="5">
        <f t="shared" si="10"/>
        <v>1.5968803918916485E-2</v>
      </c>
      <c r="S37" s="6">
        <f t="shared" si="4"/>
        <v>1.90303260282109</v>
      </c>
      <c r="T37" s="6">
        <f t="shared" si="5"/>
        <v>2.8250594721218349</v>
      </c>
      <c r="U37" s="6">
        <f t="shared" si="13"/>
        <v>2.247236376062685</v>
      </c>
      <c r="V37" s="14">
        <f t="shared" si="15"/>
        <v>2.8675375186860384E-2</v>
      </c>
      <c r="W37" s="16">
        <f t="shared" si="12"/>
        <v>2.8250594721218349</v>
      </c>
    </row>
    <row r="38" spans="1:24" x14ac:dyDescent="0.25">
      <c r="A38" s="3">
        <v>44044</v>
      </c>
      <c r="B38" s="6">
        <v>1.91169227820652</v>
      </c>
      <c r="C38" s="6">
        <v>2.1649075816675998</v>
      </c>
      <c r="D38" s="6">
        <v>1.9327262895244901</v>
      </c>
      <c r="E38" s="6">
        <v>2.8052676545884001</v>
      </c>
      <c r="F38" s="6">
        <v>1.9089844463876999</v>
      </c>
      <c r="G38" s="6">
        <v>2.2852792236459201</v>
      </c>
      <c r="H38" s="6">
        <v>1.8809049930077799</v>
      </c>
      <c r="I38" s="6">
        <v>2.2589967372040798</v>
      </c>
      <c r="J38" s="6">
        <v>1.9356611246467199</v>
      </c>
      <c r="K38" s="6">
        <v>2.14859440105977</v>
      </c>
      <c r="L38" s="6">
        <v>1.91721302929057</v>
      </c>
      <c r="M38" s="6">
        <v>2.6802311667544299</v>
      </c>
      <c r="N38" s="1">
        <f t="shared" si="1"/>
        <v>44044</v>
      </c>
      <c r="O38" s="6">
        <f t="shared" si="7"/>
        <v>1.91169227820652</v>
      </c>
      <c r="P38" s="6">
        <f t="shared" si="8"/>
        <v>2.1649075816675998</v>
      </c>
      <c r="Q38" s="6">
        <f t="shared" si="2"/>
        <v>2.0424134490774617</v>
      </c>
      <c r="R38" s="5">
        <f t="shared" si="10"/>
        <v>1.4536222918588493E-2</v>
      </c>
      <c r="S38" s="6">
        <f t="shared" si="4"/>
        <v>1.9327262895244901</v>
      </c>
      <c r="T38" s="6">
        <f t="shared" si="5"/>
        <v>2.9082837651940703</v>
      </c>
      <c r="U38" s="6">
        <f t="shared" si="13"/>
        <v>2.3134384014039635</v>
      </c>
      <c r="V38" s="14">
        <f t="shared" si="15"/>
        <v>2.9459306571598454E-2</v>
      </c>
      <c r="W38" s="16">
        <f t="shared" si="12"/>
        <v>2.9082837651940703</v>
      </c>
    </row>
    <row r="39" spans="1:24" x14ac:dyDescent="0.25">
      <c r="A39" s="3">
        <v>44075</v>
      </c>
      <c r="B39" s="6">
        <v>1.9436160644551299</v>
      </c>
      <c r="C39" s="6">
        <v>2.2089268918329101</v>
      </c>
      <c r="D39" s="6">
        <v>1.963941872418</v>
      </c>
      <c r="E39" s="6">
        <v>2.87407283666015</v>
      </c>
      <c r="F39" s="6">
        <v>1.9693589860780401</v>
      </c>
      <c r="G39" s="6">
        <v>2.3636612844148801</v>
      </c>
      <c r="H39" s="6">
        <v>1.93927341076222</v>
      </c>
      <c r="I39" s="6">
        <v>2.3348461757333201</v>
      </c>
      <c r="J39" s="6">
        <v>1.95047954342245</v>
      </c>
      <c r="K39" s="6">
        <v>2.17104092855421</v>
      </c>
      <c r="L39" s="6">
        <v>1.9331239621326499</v>
      </c>
      <c r="M39" s="6">
        <v>2.7103381094450998</v>
      </c>
      <c r="N39" s="1">
        <f t="shared" si="1"/>
        <v>44075</v>
      </c>
      <c r="O39" s="6">
        <f t="shared" si="7"/>
        <v>1.9436160644551299</v>
      </c>
      <c r="P39" s="6">
        <f t="shared" si="8"/>
        <v>2.2089268918329101</v>
      </c>
      <c r="Q39" s="6">
        <f t="shared" si="2"/>
        <v>2.0728519923364348</v>
      </c>
      <c r="R39" s="5">
        <f t="shared" si="10"/>
        <v>1.4903223082829698E-2</v>
      </c>
      <c r="S39" s="6">
        <f t="shared" si="4"/>
        <v>1.963941872418</v>
      </c>
      <c r="T39" s="6">
        <f t="shared" si="5"/>
        <v>2.9938820119010576</v>
      </c>
      <c r="U39" s="6">
        <f t="shared" si="13"/>
        <v>2.3815288241456321</v>
      </c>
      <c r="V39" s="14">
        <f t="shared" si="15"/>
        <v>2.9432563538474187E-2</v>
      </c>
      <c r="W39" s="16">
        <f t="shared" si="12"/>
        <v>2.9938820119010576</v>
      </c>
    </row>
    <row r="40" spans="1:24" x14ac:dyDescent="0.25">
      <c r="A40" s="3">
        <v>44105</v>
      </c>
      <c r="B40" s="6">
        <v>1.9339061563607101</v>
      </c>
      <c r="C40" s="6">
        <v>2.20610740272648</v>
      </c>
      <c r="D40" s="6">
        <v>1.95258439841945</v>
      </c>
      <c r="E40" s="6">
        <v>2.88720317144685</v>
      </c>
      <c r="F40" s="6">
        <v>1.9404764489344399</v>
      </c>
      <c r="G40" s="6">
        <v>2.3381872354518798</v>
      </c>
      <c r="H40" s="6">
        <v>1.9070644492864901</v>
      </c>
      <c r="I40" s="6">
        <v>2.3067935069119301</v>
      </c>
      <c r="J40" s="6">
        <v>1.9383143649664401</v>
      </c>
      <c r="K40" s="6">
        <v>2.1668588971168501</v>
      </c>
      <c r="L40" s="6">
        <v>1.9215496043897</v>
      </c>
      <c r="M40" s="6">
        <v>2.7237364024311601</v>
      </c>
      <c r="N40" s="1">
        <f t="shared" si="1"/>
        <v>44105</v>
      </c>
      <c r="O40" s="6">
        <f t="shared" si="7"/>
        <v>1.9339061563607101</v>
      </c>
      <c r="P40" s="6">
        <f t="shared" si="8"/>
        <v>2.20610740272648</v>
      </c>
      <c r="Q40" s="6">
        <f t="shared" si="2"/>
        <v>2.0678484875011667</v>
      </c>
      <c r="R40" s="5">
        <f t="shared" si="10"/>
        <v>-2.4138263869135203E-3</v>
      </c>
      <c r="S40" s="6">
        <f t="shared" si="4"/>
        <v>1.95258439841945</v>
      </c>
      <c r="T40" s="6">
        <f t="shared" si="5"/>
        <v>3.0102952381603423</v>
      </c>
      <c r="U40" s="6">
        <f t="shared" si="13"/>
        <v>2.3945849737461602</v>
      </c>
      <c r="V40" s="14">
        <f t="shared" si="15"/>
        <v>5.4822555444871135E-3</v>
      </c>
      <c r="W40" s="16">
        <f t="shared" si="12"/>
        <v>3.0102952381603423</v>
      </c>
    </row>
    <row r="41" spans="1:24" x14ac:dyDescent="0.25">
      <c r="A41" s="3">
        <v>44136</v>
      </c>
      <c r="B41" s="6">
        <v>1.9128273643181</v>
      </c>
      <c r="C41" s="6">
        <v>2.1903753219564699</v>
      </c>
      <c r="D41" s="6">
        <v>1.9297231484017701</v>
      </c>
      <c r="E41" s="6">
        <v>2.8853137597387799</v>
      </c>
      <c r="F41" s="6">
        <v>1.9010430719364599</v>
      </c>
      <c r="G41" s="6">
        <v>2.3012109377956</v>
      </c>
      <c r="H41" s="6">
        <v>1.8645035695847401</v>
      </c>
      <c r="I41" s="6">
        <v>2.2680605490932799</v>
      </c>
      <c r="J41" s="6">
        <v>1.9123962450057399</v>
      </c>
      <c r="K41" s="6">
        <v>2.1476025142686699</v>
      </c>
      <c r="L41" s="6">
        <v>1.8961808872766901</v>
      </c>
      <c r="M41" s="6">
        <v>2.7205658575913501</v>
      </c>
      <c r="N41" s="1">
        <f t="shared" si="1"/>
        <v>44136</v>
      </c>
      <c r="O41" s="6">
        <f t="shared" si="7"/>
        <v>1.9128273643181</v>
      </c>
      <c r="P41" s="6">
        <f t="shared" si="8"/>
        <v>2.1903753219564699</v>
      </c>
      <c r="Q41" s="6">
        <f t="shared" si="2"/>
        <v>2.0531394907149902</v>
      </c>
      <c r="R41" s="5">
        <f t="shared" si="10"/>
        <v>-7.1131888410020496E-3</v>
      </c>
      <c r="S41" s="6">
        <f t="shared" si="4"/>
        <v>1.9297231484017701</v>
      </c>
      <c r="T41" s="6">
        <f t="shared" si="5"/>
        <v>3.0079312810447605</v>
      </c>
      <c r="U41" s="6">
        <f t="shared" si="13"/>
        <v>2.3927045282284598</v>
      </c>
      <c r="V41" s="14">
        <f t="shared" si="15"/>
        <v>-7.852907866361835E-4</v>
      </c>
      <c r="W41" s="16">
        <f t="shared" si="12"/>
        <v>3.0079312810447605</v>
      </c>
    </row>
    <row r="42" spans="1:24" x14ac:dyDescent="0.25">
      <c r="A42" s="3">
        <v>44166</v>
      </c>
      <c r="B42" s="6">
        <v>1.83248106555909</v>
      </c>
      <c r="C42" s="6">
        <v>2.1061114573492801</v>
      </c>
      <c r="D42" s="6">
        <v>1.8472045756092801</v>
      </c>
      <c r="E42" s="6">
        <v>2.7894584277069998</v>
      </c>
      <c r="F42" s="6">
        <v>1.84965230317736</v>
      </c>
      <c r="G42" s="6">
        <v>2.2466310392676001</v>
      </c>
      <c r="H42" s="6">
        <v>1.81052364172796</v>
      </c>
      <c r="I42" s="6">
        <v>2.21129659455752</v>
      </c>
      <c r="J42" s="6">
        <v>1.8293558188454599</v>
      </c>
      <c r="K42" s="6">
        <v>2.06306674086145</v>
      </c>
      <c r="L42" s="6">
        <v>1.81442429534036</v>
      </c>
      <c r="M42" s="6">
        <v>2.62920951164863</v>
      </c>
      <c r="N42" s="1">
        <f t="shared" si="1"/>
        <v>44166</v>
      </c>
      <c r="O42" s="6">
        <f t="shared" si="7"/>
        <v>1.83248106555909</v>
      </c>
      <c r="P42" s="6">
        <f t="shared" si="8"/>
        <v>2.1061114573492801</v>
      </c>
      <c r="Q42" s="6">
        <f t="shared" si="2"/>
        <v>1.9872460600812638</v>
      </c>
      <c r="R42" s="5">
        <f t="shared" si="10"/>
        <v>-3.2093986274054666E-2</v>
      </c>
      <c r="S42" s="6">
        <f t="shared" si="4"/>
        <v>1.8472045756092801</v>
      </c>
      <c r="T42" s="6">
        <f t="shared" si="5"/>
        <v>2.8880165920996967</v>
      </c>
      <c r="U42" s="6">
        <f t="shared" si="13"/>
        <v>2.2973165713798234</v>
      </c>
      <c r="V42" s="14">
        <f t="shared" si="15"/>
        <v>-3.9866166391744562E-2</v>
      </c>
      <c r="W42" s="16">
        <f t="shared" si="12"/>
        <v>2.8880165920996967</v>
      </c>
    </row>
    <row r="43" spans="1:24" x14ac:dyDescent="0.25">
      <c r="N43" s="1"/>
      <c r="O43" s="6"/>
      <c r="P43" s="6"/>
      <c r="Q43" s="6"/>
      <c r="R43" s="5"/>
      <c r="S43" s="6"/>
      <c r="T43" s="6"/>
      <c r="U43" s="6"/>
      <c r="V43" s="6"/>
    </row>
    <row r="44" spans="1:24" x14ac:dyDescent="0.25">
      <c r="N44" s="1"/>
      <c r="O44" s="6"/>
      <c r="P44" s="6"/>
      <c r="Q44" s="6"/>
      <c r="R44" s="5"/>
      <c r="S44" s="6"/>
      <c r="T44" s="6"/>
      <c r="U44" s="6"/>
      <c r="V44" s="6"/>
    </row>
    <row r="45" spans="1:24" x14ac:dyDescent="0.25">
      <c r="N45" s="1"/>
      <c r="O45" s="6"/>
      <c r="P45" s="6"/>
      <c r="Q45" s="6"/>
      <c r="R45" s="5"/>
      <c r="S45" s="6"/>
      <c r="T45" s="6"/>
      <c r="U45" s="6"/>
      <c r="V45" s="6"/>
    </row>
    <row r="46" spans="1:24" x14ac:dyDescent="0.25">
      <c r="N46" s="1"/>
      <c r="O46" s="6"/>
      <c r="P46" s="6"/>
      <c r="Q46" s="6"/>
      <c r="R46" s="5"/>
      <c r="S46" s="6"/>
      <c r="T46" s="6"/>
      <c r="U46" s="6"/>
      <c r="V46" s="6"/>
    </row>
    <row r="47" spans="1:24" x14ac:dyDescent="0.25">
      <c r="N47" s="1"/>
      <c r="O47" s="6"/>
      <c r="P47" s="6"/>
      <c r="Q47" s="6"/>
      <c r="R47" s="5"/>
      <c r="S47" s="6"/>
      <c r="T47" s="6"/>
      <c r="U47" s="6"/>
      <c r="V47" s="6"/>
    </row>
    <row r="48" spans="1:24" x14ac:dyDescent="0.25">
      <c r="N48" s="1"/>
      <c r="O48" s="6"/>
      <c r="P48" s="6"/>
      <c r="Q48" s="6"/>
      <c r="R48" s="5"/>
      <c r="S48" s="6"/>
      <c r="T48" s="6"/>
      <c r="U48" s="6"/>
      <c r="V48" s="6"/>
    </row>
    <row r="49" spans="1:30" x14ac:dyDescent="0.25">
      <c r="N49" s="1"/>
      <c r="O49" s="6"/>
      <c r="P49" s="6"/>
      <c r="Q49" s="6"/>
      <c r="R49" s="5"/>
      <c r="S49" s="6"/>
      <c r="T49" s="6"/>
      <c r="U49" s="6"/>
      <c r="V49" s="6"/>
    </row>
    <row r="50" spans="1:30" x14ac:dyDescent="0.25">
      <c r="N50" s="1"/>
      <c r="O50" s="6"/>
      <c r="P50" s="6"/>
      <c r="Q50" s="6"/>
      <c r="R50" s="5"/>
      <c r="S50" s="6"/>
      <c r="T50" s="6"/>
      <c r="U50" s="6"/>
      <c r="V50" s="6"/>
    </row>
    <row r="51" spans="1:30" x14ac:dyDescent="0.25">
      <c r="N51" s="1"/>
      <c r="O51" s="6"/>
      <c r="P51" s="6"/>
      <c r="Q51" s="6"/>
      <c r="R51" s="5"/>
      <c r="S51" s="6"/>
      <c r="T51" s="6"/>
      <c r="U51" s="6"/>
      <c r="V51" s="6"/>
    </row>
    <row r="52" spans="1:30" x14ac:dyDescent="0.25">
      <c r="N52" s="1"/>
      <c r="O52" s="6"/>
      <c r="P52" s="6"/>
      <c r="Q52" s="6"/>
      <c r="R52" s="5"/>
      <c r="S52" s="6"/>
      <c r="T52" s="6"/>
      <c r="U52" s="6"/>
      <c r="V52" s="6"/>
    </row>
    <row r="53" spans="1:30" x14ac:dyDescent="0.25">
      <c r="N53" s="1"/>
      <c r="O53" s="6"/>
      <c r="P53" s="6"/>
      <c r="Q53" s="6"/>
      <c r="R53" s="5"/>
      <c r="S53" s="6"/>
      <c r="T53" s="6"/>
      <c r="U53" s="6"/>
      <c r="V53" s="6"/>
    </row>
    <row r="54" spans="1:30" x14ac:dyDescent="0.25">
      <c r="N54" s="1"/>
      <c r="O54" s="6"/>
      <c r="P54" s="6"/>
      <c r="Q54" s="6"/>
      <c r="R54" s="5"/>
      <c r="S54" s="6"/>
      <c r="T54" s="6"/>
      <c r="U54" s="6"/>
      <c r="V54" s="6"/>
    </row>
    <row r="55" spans="1:30" x14ac:dyDescent="0.25">
      <c r="N55" s="1"/>
    </row>
    <row r="56" spans="1:30" x14ac:dyDescent="0.25">
      <c r="B56" t="s">
        <v>53</v>
      </c>
      <c r="C56" t="s">
        <v>54</v>
      </c>
      <c r="D56" t="s">
        <v>55</v>
      </c>
      <c r="O56" s="8">
        <v>42795</v>
      </c>
      <c r="P56" s="8">
        <v>42887</v>
      </c>
      <c r="Q56" s="8">
        <v>42979</v>
      </c>
      <c r="R56" s="8">
        <v>43070</v>
      </c>
      <c r="S56" s="8">
        <v>43160</v>
      </c>
      <c r="T56" s="8">
        <v>43252</v>
      </c>
      <c r="U56" s="8">
        <v>43344</v>
      </c>
      <c r="V56" s="8">
        <v>43435</v>
      </c>
      <c r="W56" s="8">
        <v>43525</v>
      </c>
      <c r="X56" s="8">
        <v>43617</v>
      </c>
      <c r="Y56" s="8">
        <v>43709</v>
      </c>
      <c r="Z56" s="8">
        <v>43800</v>
      </c>
      <c r="AA56" s="8">
        <v>43891</v>
      </c>
      <c r="AB56" s="8">
        <v>43983</v>
      </c>
      <c r="AC56" s="8">
        <v>44075</v>
      </c>
      <c r="AD56" s="8">
        <v>44166</v>
      </c>
    </row>
    <row r="57" spans="1:30" x14ac:dyDescent="0.25">
      <c r="A57" s="13">
        <v>1</v>
      </c>
      <c r="B57" s="6">
        <v>2.3636820118352002</v>
      </c>
      <c r="C57" s="6">
        <v>2.36646858743419</v>
      </c>
      <c r="D57" s="6">
        <v>2.21491838176394</v>
      </c>
      <c r="N57" s="9" t="s">
        <v>48</v>
      </c>
      <c r="O57" s="7" t="e">
        <f>VLOOKUP(O$56,$N$7:$V$54,5,0)</f>
        <v>#N/A</v>
      </c>
      <c r="P57" s="7" t="e">
        <f t="shared" ref="P57:AD57" si="16">VLOOKUP(P$56,$N$7:$V$54,5,0)</f>
        <v>#N/A</v>
      </c>
      <c r="Q57" s="7" t="e">
        <f t="shared" si="16"/>
        <v>#N/A</v>
      </c>
      <c r="R57" s="7" t="e">
        <f t="shared" si="16"/>
        <v>#N/A</v>
      </c>
      <c r="S57" s="7">
        <f t="shared" si="16"/>
        <v>-1.5976671773489159E-2</v>
      </c>
      <c r="T57" s="7">
        <f t="shared" si="16"/>
        <v>1.1454019909329372E-3</v>
      </c>
      <c r="U57" s="7">
        <f t="shared" si="16"/>
        <v>1.5297328663990762E-2</v>
      </c>
      <c r="V57" s="7">
        <f t="shared" si="16"/>
        <v>-3.1136959097811001E-2</v>
      </c>
      <c r="W57" s="7">
        <f t="shared" si="16"/>
        <v>-2.625692129991837E-2</v>
      </c>
      <c r="X57" s="7">
        <f t="shared" si="16"/>
        <v>1.0010269707333209E-3</v>
      </c>
      <c r="Y57" s="7">
        <f t="shared" si="16"/>
        <v>1.4616754421351175E-2</v>
      </c>
      <c r="Z57" s="7">
        <f t="shared" si="16"/>
        <v>-3.1332641737069976E-2</v>
      </c>
      <c r="AA57" s="7">
        <f t="shared" si="16"/>
        <v>-2.595454492926752E-2</v>
      </c>
      <c r="AB57" s="7">
        <f t="shared" si="16"/>
        <v>1.3369824230593963E-3</v>
      </c>
      <c r="AC57" s="7">
        <f t="shared" si="16"/>
        <v>1.4903223082829698E-2</v>
      </c>
      <c r="AD57" s="7">
        <f t="shared" si="16"/>
        <v>-3.2093986274054666E-2</v>
      </c>
    </row>
    <row r="58" spans="1:30" x14ac:dyDescent="0.25">
      <c r="A58" s="13">
        <v>2</v>
      </c>
      <c r="B58" s="6">
        <v>2.32964942821918</v>
      </c>
      <c r="C58" s="6">
        <v>2.3345448125586499</v>
      </c>
      <c r="D58" s="6">
        <v>2.2373235943327301</v>
      </c>
      <c r="N58" s="9" t="s">
        <v>49</v>
      </c>
      <c r="O58" s="7" t="e">
        <f>VLOOKUP(O$56,$N$7:$V$54,9,0)</f>
        <v>#N/A</v>
      </c>
      <c r="P58" s="7" t="e">
        <f t="shared" ref="P58:AD58" si="17">VLOOKUP(P$56,$N$7:$V$54,9,0)</f>
        <v>#N/A</v>
      </c>
      <c r="Q58" s="7" t="e">
        <f t="shared" si="17"/>
        <v>#N/A</v>
      </c>
      <c r="R58" s="7" t="e">
        <f t="shared" si="17"/>
        <v>#N/A</v>
      </c>
      <c r="S58" s="7">
        <f t="shared" si="17"/>
        <v>-1.5353923249398105E-2</v>
      </c>
      <c r="T58" s="7">
        <f t="shared" si="17"/>
        <v>1.3765882479726654E-2</v>
      </c>
      <c r="U58" s="7">
        <f t="shared" si="17"/>
        <v>3.4651316321594634E-2</v>
      </c>
      <c r="V58" s="7">
        <f t="shared" si="17"/>
        <v>-3.1106745788917499E-2</v>
      </c>
      <c r="W58" s="7">
        <f t="shared" si="17"/>
        <v>-2.5257034330184558E-2</v>
      </c>
      <c r="X58" s="7">
        <f t="shared" si="17"/>
        <v>1.3396433934373286E-2</v>
      </c>
      <c r="Y58" s="7">
        <f t="shared" si="17"/>
        <v>3.2477122288181712E-2</v>
      </c>
      <c r="Z58" s="7">
        <f t="shared" si="17"/>
        <v>-3.2179309610715377E-2</v>
      </c>
      <c r="AA58" s="7">
        <f t="shared" si="17"/>
        <v>-3.037812731460816E-2</v>
      </c>
      <c r="AB58" s="7">
        <f t="shared" si="17"/>
        <v>1.0728267607558184E-2</v>
      </c>
      <c r="AC58" s="7">
        <f t="shared" si="17"/>
        <v>2.9432563538474187E-2</v>
      </c>
      <c r="AD58" s="7">
        <f t="shared" si="17"/>
        <v>-3.9866166391744562E-2</v>
      </c>
    </row>
    <row r="59" spans="1:30" x14ac:dyDescent="0.25">
      <c r="A59" s="13">
        <v>3</v>
      </c>
      <c r="B59" s="6">
        <v>2.2605574433312299</v>
      </c>
      <c r="C59" s="6">
        <v>2.26529453717834</v>
      </c>
      <c r="D59" s="6">
        <v>2.2199882090379699</v>
      </c>
      <c r="N59" s="1"/>
    </row>
    <row r="60" spans="1:30" x14ac:dyDescent="0.25">
      <c r="A60" s="13">
        <v>4</v>
      </c>
      <c r="B60" s="6">
        <v>2.2935807239396699</v>
      </c>
      <c r="C60" s="6">
        <v>2.2245103712267098</v>
      </c>
      <c r="D60" s="6">
        <v>2.2071976343905502</v>
      </c>
      <c r="N60" s="1"/>
    </row>
    <row r="61" spans="1:30" x14ac:dyDescent="0.25">
      <c r="A61" s="13">
        <v>5</v>
      </c>
      <c r="B61" s="6">
        <v>2.2978624666902001</v>
      </c>
      <c r="C61" s="6">
        <v>2.1856972652500901</v>
      </c>
      <c r="D61" s="6">
        <v>2.18918458626074</v>
      </c>
      <c r="N61" s="1"/>
    </row>
    <row r="62" spans="1:30" x14ac:dyDescent="0.25">
      <c r="A62" s="13">
        <v>6</v>
      </c>
      <c r="B62" s="6">
        <v>2.2173956495434899</v>
      </c>
      <c r="C62" s="6">
        <v>2.1939301537956002</v>
      </c>
      <c r="D62" s="6">
        <v>2.15813376183976</v>
      </c>
      <c r="N62" s="1"/>
    </row>
    <row r="63" spans="1:30" x14ac:dyDescent="0.25">
      <c r="A63" s="13">
        <v>7</v>
      </c>
      <c r="B63" s="6">
        <v>2.2659190862766598</v>
      </c>
      <c r="C63" s="6">
        <v>2.2384206753617701</v>
      </c>
      <c r="D63" s="6">
        <v>2.1967937986267501</v>
      </c>
      <c r="N63" s="1"/>
    </row>
    <row r="64" spans="1:30" x14ac:dyDescent="0.25">
      <c r="A64" s="13">
        <v>8</v>
      </c>
      <c r="B64" s="6">
        <v>2.2712974966165098</v>
      </c>
      <c r="C64" s="6">
        <v>2.29642027385152</v>
      </c>
      <c r="D64" s="6">
        <v>2.2373734849662901</v>
      </c>
      <c r="N64" s="1"/>
    </row>
    <row r="65" spans="1:14" x14ac:dyDescent="0.25">
      <c r="A65" s="13">
        <v>9</v>
      </c>
      <c r="B65" s="6">
        <v>2.2705119587154599</v>
      </c>
      <c r="C65" s="6">
        <v>2.3606939103075</v>
      </c>
      <c r="D65" s="6">
        <v>2.3008184874927502</v>
      </c>
      <c r="N65" s="1"/>
    </row>
    <row r="66" spans="1:14" x14ac:dyDescent="0.25">
      <c r="A66" s="13">
        <v>10</v>
      </c>
      <c r="B66" s="6">
        <v>2.2652568226481602</v>
      </c>
      <c r="C66" s="6">
        <v>2.3270195989992302</v>
      </c>
      <c r="D66" s="6">
        <v>2.3086234935036698</v>
      </c>
      <c r="N66" s="1"/>
    </row>
    <row r="67" spans="1:14" x14ac:dyDescent="0.25">
      <c r="A67" s="13">
        <v>11</v>
      </c>
      <c r="B67" s="6">
        <v>2.2160083314486498</v>
      </c>
      <c r="C67" s="6">
        <v>2.2791740796074502</v>
      </c>
      <c r="D67" s="6">
        <v>2.2936222358585598</v>
      </c>
      <c r="N67" s="1"/>
    </row>
    <row r="68" spans="1:14" x14ac:dyDescent="0.25">
      <c r="A68" s="13">
        <v>12</v>
      </c>
      <c r="B68" s="6">
        <v>2.21888594762419</v>
      </c>
      <c r="C68" s="6">
        <v>2.2305139284076798</v>
      </c>
      <c r="D68" s="6">
        <v>2.2190032623146698</v>
      </c>
      <c r="N68" s="1"/>
    </row>
    <row r="69" spans="1:14" x14ac:dyDescent="0.25">
      <c r="A69" s="13">
        <v>13</v>
      </c>
      <c r="B69" s="6">
        <v>2.3546054810811099</v>
      </c>
      <c r="C69" s="6">
        <v>2.2704762917324102</v>
      </c>
      <c r="D69" s="6">
        <v>2.24415020549859</v>
      </c>
      <c r="N69" s="1"/>
    </row>
    <row r="70" spans="1:14" x14ac:dyDescent="0.25">
      <c r="A70" s="13">
        <v>14</v>
      </c>
      <c r="B70" s="6">
        <v>2.35867661111959</v>
      </c>
      <c r="C70" s="6">
        <v>2.24550026593815</v>
      </c>
      <c r="D70" s="6">
        <v>2.2280501551815899</v>
      </c>
      <c r="N70" s="1"/>
    </row>
    <row r="71" spans="1:14" x14ac:dyDescent="0.25">
      <c r="A71" s="13">
        <v>15</v>
      </c>
      <c r="B71" s="6">
        <v>2.2849843273068502</v>
      </c>
      <c r="C71" s="6">
        <v>2.1189527872362302</v>
      </c>
      <c r="D71" s="6">
        <v>2.1439995624609902</v>
      </c>
      <c r="N71" s="1"/>
    </row>
    <row r="72" spans="1:14" x14ac:dyDescent="0.25">
      <c r="A72" s="13">
        <v>16</v>
      </c>
      <c r="B72" s="6">
        <v>2.30345429415638</v>
      </c>
      <c r="C72" s="6">
        <v>2.0938625616169202</v>
      </c>
      <c r="D72" s="6">
        <v>2.1307949538056801</v>
      </c>
      <c r="N72" s="1"/>
    </row>
    <row r="73" spans="1:14" x14ac:dyDescent="0.25">
      <c r="A73" s="13">
        <v>17</v>
      </c>
      <c r="B73" s="6">
        <v>2.27840932324523</v>
      </c>
      <c r="C73" s="6">
        <v>2.06032751959772</v>
      </c>
      <c r="D73" s="6">
        <v>2.1125881133342901</v>
      </c>
      <c r="N73" s="1"/>
    </row>
    <row r="74" spans="1:14" x14ac:dyDescent="0.25">
      <c r="A74" s="13">
        <v>18</v>
      </c>
      <c r="B74" s="6">
        <v>2.2000677782010198</v>
      </c>
      <c r="C74" s="6">
        <v>2.0481073494642699</v>
      </c>
      <c r="D74" s="6">
        <v>2.08179145745616</v>
      </c>
      <c r="N74" s="1"/>
    </row>
    <row r="75" spans="1:14" x14ac:dyDescent="0.25">
      <c r="A75" s="13">
        <v>19</v>
      </c>
      <c r="B75" s="6">
        <v>2.2478979164541002</v>
      </c>
      <c r="C75" s="6">
        <v>2.09546368992839</v>
      </c>
      <c r="D75" s="6">
        <v>2.1178547727560302</v>
      </c>
      <c r="N75" s="1"/>
    </row>
    <row r="76" spans="1:14" x14ac:dyDescent="0.25">
      <c r="A76" s="13">
        <v>20</v>
      </c>
      <c r="B76" s="6">
        <v>2.25291873864695</v>
      </c>
      <c r="C76" s="6">
        <v>2.15443401345635</v>
      </c>
      <c r="D76" s="6">
        <v>2.1556834553097</v>
      </c>
      <c r="N76" s="1"/>
    </row>
    <row r="77" spans="1:14" x14ac:dyDescent="0.25">
      <c r="A77" s="13">
        <v>21</v>
      </c>
      <c r="B77" s="6">
        <v>2.2518248970177899</v>
      </c>
      <c r="C77" s="6">
        <v>2.2163882433636499</v>
      </c>
      <c r="D77" s="6">
        <v>2.2154832935336399</v>
      </c>
      <c r="N77" s="1"/>
    </row>
    <row r="78" spans="1:14" x14ac:dyDescent="0.25">
      <c r="A78" s="13">
        <v>22</v>
      </c>
      <c r="B78" s="6">
        <v>2.2469269442661401</v>
      </c>
      <c r="C78" s="6">
        <v>2.1740528765475502</v>
      </c>
      <c r="D78" s="6">
        <v>2.2206529024380202</v>
      </c>
    </row>
    <row r="79" spans="1:14" x14ac:dyDescent="0.25">
      <c r="A79" s="13">
        <v>23</v>
      </c>
      <c r="B79" s="6">
        <v>2.1983841088049099</v>
      </c>
      <c r="C79" s="6">
        <v>2.1199672582445799</v>
      </c>
      <c r="D79" s="6">
        <v>2.2038174924819698</v>
      </c>
    </row>
    <row r="80" spans="1:14" x14ac:dyDescent="0.25">
      <c r="A80" s="13">
        <v>24</v>
      </c>
      <c r="B80" s="6">
        <v>2.2015464303251702</v>
      </c>
      <c r="C80" s="6">
        <v>2.0533740632278801</v>
      </c>
      <c r="D80" s="6">
        <v>2.12987014554278</v>
      </c>
    </row>
    <row r="81" spans="1:4" x14ac:dyDescent="0.25">
      <c r="A81" s="13">
        <v>25</v>
      </c>
      <c r="B81" s="6">
        <v>2.3368583291479501</v>
      </c>
      <c r="C81" s="6">
        <v>2.1042662543194499</v>
      </c>
      <c r="D81" s="6">
        <v>2.1526872590262398</v>
      </c>
    </row>
    <row r="82" spans="1:4" x14ac:dyDescent="0.25">
      <c r="A82" s="13">
        <v>26</v>
      </c>
      <c r="B82" s="6">
        <v>2.3415530337224002</v>
      </c>
      <c r="C82" s="6">
        <v>2.0690438276652001</v>
      </c>
      <c r="D82" s="6">
        <v>2.13593393066677</v>
      </c>
    </row>
    <row r="83" spans="1:4" x14ac:dyDescent="0.25">
      <c r="A83" s="13">
        <v>27</v>
      </c>
      <c r="B83" s="6">
        <v>2.2690297384493299</v>
      </c>
      <c r="C83" s="6">
        <v>1.96182675031497</v>
      </c>
      <c r="D83" s="6">
        <v>2.0542208629220098</v>
      </c>
    </row>
    <row r="84" spans="1:4" x14ac:dyDescent="0.25">
      <c r="A84" s="13">
        <v>28</v>
      </c>
      <c r="B84" s="6">
        <v>2.28689138436981</v>
      </c>
      <c r="C84" s="6">
        <v>1.94046018444505</v>
      </c>
      <c r="D84" s="6">
        <v>2.0399378159291301</v>
      </c>
    </row>
    <row r="85" spans="1:4" x14ac:dyDescent="0.25">
      <c r="A85" s="13">
        <v>29</v>
      </c>
      <c r="B85" s="6">
        <v>2.26155245285655</v>
      </c>
      <c r="C85" s="6">
        <v>1.9111578664867599</v>
      </c>
      <c r="D85" s="6">
        <v>2.0209432873945201</v>
      </c>
    </row>
    <row r="86" spans="1:4" x14ac:dyDescent="0.25">
      <c r="A86" s="13">
        <v>30</v>
      </c>
      <c r="B86" s="6">
        <v>2.1833328698107599</v>
      </c>
      <c r="C86" s="6">
        <v>1.9016483347694499</v>
      </c>
      <c r="D86" s="6">
        <v>1.98989125110582</v>
      </c>
    </row>
    <row r="87" spans="1:4" x14ac:dyDescent="0.25">
      <c r="A87" s="13">
        <v>31</v>
      </c>
      <c r="B87" s="6">
        <v>2.2307212624244799</v>
      </c>
      <c r="C87" s="6">
        <v>1.94833320985763</v>
      </c>
      <c r="D87" s="6">
        <v>2.02326660853804</v>
      </c>
    </row>
    <row r="88" spans="1:4" x14ac:dyDescent="0.25">
      <c r="A88" s="13">
        <v>32</v>
      </c>
      <c r="B88" s="6">
        <v>2.2356256243863899</v>
      </c>
      <c r="C88" s="6">
        <v>2.0060515044761602</v>
      </c>
      <c r="D88" s="6">
        <v>2.0582537004211701</v>
      </c>
    </row>
    <row r="89" spans="1:4" x14ac:dyDescent="0.25">
      <c r="A89" s="13">
        <v>33</v>
      </c>
      <c r="B89" s="6">
        <v>2.2344621245943301</v>
      </c>
      <c r="C89" s="6">
        <v>2.0667146059789401</v>
      </c>
      <c r="D89" s="6">
        <v>2.1141674105869499</v>
      </c>
    </row>
    <row r="90" spans="1:4" x14ac:dyDescent="0.25">
      <c r="A90" s="13">
        <v>34</v>
      </c>
      <c r="B90" s="6">
        <v>2.2298355996519099</v>
      </c>
      <c r="C90" s="6">
        <v>2.03238900198938</v>
      </c>
      <c r="D90" s="6">
        <v>2.1173610810069698</v>
      </c>
    </row>
    <row r="91" spans="1:4" x14ac:dyDescent="0.25">
      <c r="A91" s="13">
        <v>35</v>
      </c>
      <c r="B91" s="6">
        <v>2.1818906451968201</v>
      </c>
      <c r="C91" s="6">
        <v>1.9870311936294101</v>
      </c>
      <c r="D91" s="6">
        <v>2.09952636013645</v>
      </c>
    </row>
    <row r="92" spans="1:4" x14ac:dyDescent="0.25">
      <c r="A92" s="13">
        <v>36</v>
      </c>
      <c r="B92" s="6">
        <v>2.1852582320404998</v>
      </c>
      <c r="C92" s="6">
        <v>1.9295039235125899</v>
      </c>
      <c r="D92" s="6">
        <v>2.0274127888239399</v>
      </c>
    </row>
    <row r="93" spans="1:4" x14ac:dyDescent="0.25">
      <c r="C93" s="6">
        <v>1.9802406879619601</v>
      </c>
    </row>
    <row r="94" spans="1:4" x14ac:dyDescent="0.25">
      <c r="C94" s="6">
        <v>1.9499643636589099</v>
      </c>
    </row>
    <row r="95" spans="1:4" x14ac:dyDescent="0.25">
      <c r="C95" s="6">
        <v>1.8513793931985301</v>
      </c>
    </row>
    <row r="96" spans="1:4" x14ac:dyDescent="0.25">
      <c r="C96" s="6">
        <v>1.8347373181489599</v>
      </c>
    </row>
    <row r="97" spans="3:3" x14ac:dyDescent="0.25">
      <c r="C97" s="6">
        <v>1.81039436915302</v>
      </c>
    </row>
    <row r="98" spans="3:3" x14ac:dyDescent="0.25">
      <c r="C98" s="6">
        <v>1.8048504423957401</v>
      </c>
    </row>
    <row r="99" spans="3:3" x14ac:dyDescent="0.25">
      <c r="C99" s="6">
        <v>1.8515671821219</v>
      </c>
    </row>
    <row r="100" spans="3:3" x14ac:dyDescent="0.25">
      <c r="C100" s="6">
        <v>1.9089844463876999</v>
      </c>
    </row>
    <row r="101" spans="3:3" x14ac:dyDescent="0.25">
      <c r="C101" s="6">
        <v>1.9693589860780401</v>
      </c>
    </row>
    <row r="102" spans="3:3" x14ac:dyDescent="0.25">
      <c r="C102" s="6">
        <v>1.9404764489344399</v>
      </c>
    </row>
    <row r="103" spans="3:3" x14ac:dyDescent="0.25">
      <c r="C103" s="6">
        <v>1.9010430719364599</v>
      </c>
    </row>
    <row r="104" spans="3:3" x14ac:dyDescent="0.25">
      <c r="C104" s="6">
        <v>1.84965230317736</v>
      </c>
    </row>
  </sheetData>
  <sortState ref="N45:N78">
    <sortCondition ref="N45"/>
  </sortState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Z104"/>
  <sheetViews>
    <sheetView zoomScale="80" zoomScaleNormal="80" workbookViewId="0">
      <selection activeCell="J12" sqref="J12"/>
    </sheetView>
  </sheetViews>
  <sheetFormatPr baseColWidth="10" defaultRowHeight="15" x14ac:dyDescent="0.25"/>
  <cols>
    <col min="1" max="1" width="17.5703125" bestFit="1" customWidth="1"/>
    <col min="2" max="5" width="10.140625" customWidth="1"/>
    <col min="6" max="10" width="13.5703125" customWidth="1"/>
    <col min="11" max="11" width="9.7109375" bestFit="1" customWidth="1"/>
    <col min="12" max="12" width="8" customWidth="1"/>
    <col min="13" max="13" width="8.5703125" customWidth="1"/>
    <col min="14" max="14" width="8" customWidth="1"/>
  </cols>
  <sheetData>
    <row r="1" spans="1:19" x14ac:dyDescent="0.25">
      <c r="A1" s="2" t="s">
        <v>1</v>
      </c>
      <c r="B1" t="s">
        <v>3</v>
      </c>
    </row>
    <row r="3" spans="1:19" x14ac:dyDescent="0.25">
      <c r="B3" s="2" t="s">
        <v>39</v>
      </c>
      <c r="J3" t="s">
        <v>46</v>
      </c>
      <c r="K3">
        <v>0</v>
      </c>
      <c r="L3">
        <v>0</v>
      </c>
      <c r="M3">
        <v>0</v>
      </c>
      <c r="O3">
        <v>0</v>
      </c>
      <c r="P3">
        <v>0</v>
      </c>
      <c r="Q3">
        <v>1</v>
      </c>
    </row>
    <row r="4" spans="1:19" x14ac:dyDescent="0.25">
      <c r="B4" t="s">
        <v>4</v>
      </c>
      <c r="D4" t="s">
        <v>6</v>
      </c>
      <c r="F4" t="s">
        <v>59</v>
      </c>
      <c r="H4" t="s">
        <v>60</v>
      </c>
      <c r="J4" t="s">
        <v>45</v>
      </c>
      <c r="K4" s="4"/>
      <c r="L4" s="4"/>
      <c r="M4" s="4"/>
      <c r="N4" s="4">
        <v>-0.4</v>
      </c>
      <c r="O4" s="4"/>
      <c r="P4" s="4"/>
      <c r="Q4" s="4"/>
      <c r="R4" s="4">
        <v>0.1</v>
      </c>
    </row>
    <row r="5" spans="1:19" x14ac:dyDescent="0.25">
      <c r="A5" s="2" t="s">
        <v>10</v>
      </c>
      <c r="B5" t="s">
        <v>37</v>
      </c>
      <c r="C5" t="s">
        <v>38</v>
      </c>
      <c r="D5" t="s">
        <v>37</v>
      </c>
      <c r="E5" t="s">
        <v>38</v>
      </c>
      <c r="F5" t="s">
        <v>37</v>
      </c>
      <c r="G5" t="s">
        <v>38</v>
      </c>
      <c r="H5" t="s">
        <v>37</v>
      </c>
      <c r="I5" t="s">
        <v>38</v>
      </c>
      <c r="K5" s="10" t="s">
        <v>40</v>
      </c>
      <c r="L5" s="10" t="s">
        <v>41</v>
      </c>
      <c r="M5" s="10" t="s">
        <v>44</v>
      </c>
      <c r="N5" s="10" t="s">
        <v>47</v>
      </c>
      <c r="O5" s="10" t="s">
        <v>42</v>
      </c>
      <c r="P5" s="10" t="s">
        <v>43</v>
      </c>
      <c r="Q5" s="10" t="s">
        <v>50</v>
      </c>
      <c r="R5" s="10" t="s">
        <v>47</v>
      </c>
    </row>
    <row r="6" spans="1:19" x14ac:dyDescent="0.25">
      <c r="A6" s="11">
        <v>42705</v>
      </c>
      <c r="B6" s="12">
        <v>0.90377002761205205</v>
      </c>
      <c r="C6" s="6">
        <v>0.90413791751940598</v>
      </c>
      <c r="D6" s="6">
        <v>0.90377002761205205</v>
      </c>
      <c r="E6" s="6">
        <v>0.90413791751940598</v>
      </c>
      <c r="F6" s="6">
        <v>0.90376983572012504</v>
      </c>
      <c r="G6" s="6">
        <v>0.90402983707040196</v>
      </c>
      <c r="H6" s="6">
        <v>0.90376983572012504</v>
      </c>
      <c r="I6" s="6">
        <v>0.90402983707040196</v>
      </c>
      <c r="J6" s="1">
        <f>A6</f>
        <v>42705</v>
      </c>
      <c r="K6" s="6">
        <f>B6</f>
        <v>0.90377002761205205</v>
      </c>
      <c r="L6" s="6">
        <f>C6</f>
        <v>0.90413791751940598</v>
      </c>
      <c r="M6" s="6">
        <f>AVERAGE(B6:C6)</f>
        <v>0.90395397256572907</v>
      </c>
      <c r="N6" s="6"/>
      <c r="O6" s="6">
        <f>D6</f>
        <v>0.90377002761205205</v>
      </c>
      <c r="P6" s="6">
        <f>E6</f>
        <v>0.90413791751940598</v>
      </c>
      <c r="Q6" s="6">
        <f t="shared" ref="Q6:Q20" si="0">K6</f>
        <v>0.90377002761205205</v>
      </c>
      <c r="R6" s="6"/>
      <c r="S6" s="6"/>
    </row>
    <row r="7" spans="1:19" x14ac:dyDescent="0.25">
      <c r="A7" s="11">
        <v>42736</v>
      </c>
      <c r="B7" s="12">
        <v>0.93155113943964696</v>
      </c>
      <c r="C7" s="6">
        <v>0.93193033786583901</v>
      </c>
      <c r="D7" s="6">
        <v>0.93155113943964696</v>
      </c>
      <c r="E7" s="6">
        <v>0.93193033786583901</v>
      </c>
      <c r="F7" s="6">
        <v>0.93155105841421304</v>
      </c>
      <c r="G7" s="6">
        <v>0.93181905193812098</v>
      </c>
      <c r="H7" s="6">
        <v>0.93155105841421304</v>
      </c>
      <c r="I7" s="6">
        <v>0.93181905193812098</v>
      </c>
      <c r="J7" s="1">
        <f t="shared" ref="J7:J54" si="1">A7</f>
        <v>42736</v>
      </c>
      <c r="K7" s="6">
        <f>IF(K$3=1,K6*(1+$N7),B7)</f>
        <v>0.93155113943964696</v>
      </c>
      <c r="L7" s="6">
        <f>IF(L$3=1,L6*(1+$N7),C7)</f>
        <v>0.93193033786583901</v>
      </c>
      <c r="M7" s="6">
        <f t="shared" ref="M7:M42" si="2">IF(M$3=1,M6*(1+$N7),AVERAGE(B7:C7))</f>
        <v>0.93174073865274298</v>
      </c>
      <c r="N7" s="5">
        <f t="shared" ref="N7:N12" si="3">IF(K$3=1,(B7/B6)-1,IF(L$3=1,(C7/C6)-1,(AVERAGE(B7:C7)/AVERAGE(B6:C6)-1)))</f>
        <v>3.0739138197651394E-2</v>
      </c>
      <c r="O7" s="6">
        <f t="shared" ref="O7:O42" si="4">IF(O$3=1,O6*(1+$R7),D7)</f>
        <v>0.93155113943964696</v>
      </c>
      <c r="P7" s="6">
        <f t="shared" ref="P7:P42" si="5">IF(P$3=1,P6*(1+$R7),E7)</f>
        <v>0.93193033786583901</v>
      </c>
      <c r="Q7" s="6">
        <f t="shared" si="0"/>
        <v>0.93155113943964696</v>
      </c>
      <c r="R7" s="5">
        <f t="shared" ref="R7:R12" si="6">IF(O$3=1,(D7/D6)-1,IF(P$3=1,(E7/E6)-1,(AVERAGE(D7:E7)/AVERAGE(D6:E6)-1)))</f>
        <v>3.0739138197651394E-2</v>
      </c>
      <c r="S7" s="6"/>
    </row>
    <row r="8" spans="1:19" x14ac:dyDescent="0.25">
      <c r="A8" s="11">
        <v>42767</v>
      </c>
      <c r="B8" s="12">
        <v>0.94999943228288797</v>
      </c>
      <c r="C8" s="6">
        <v>0.95038614026969304</v>
      </c>
      <c r="D8" s="6">
        <v>0.94999943228288797</v>
      </c>
      <c r="E8" s="6">
        <v>0.95038614026969304</v>
      </c>
      <c r="F8" s="6">
        <v>0.94999963027615597</v>
      </c>
      <c r="G8" s="6">
        <v>0.95027293118148803</v>
      </c>
      <c r="H8" s="6">
        <v>0.94999963027615597</v>
      </c>
      <c r="I8" s="6">
        <v>0.95027293118148803</v>
      </c>
      <c r="J8" s="1">
        <f t="shared" si="1"/>
        <v>42767</v>
      </c>
      <c r="K8" s="6">
        <f t="shared" ref="K8:K42" si="7">IF(K$3=1,K7*(1+N8),B8)</f>
        <v>0.94999943228288797</v>
      </c>
      <c r="L8" s="6">
        <f t="shared" ref="L8:L42" si="8">IF(L$3=1,L7*(1+$N8),C8)</f>
        <v>0.95038614026969304</v>
      </c>
      <c r="M8" s="6">
        <f t="shared" si="2"/>
        <v>0.95019278627629045</v>
      </c>
      <c r="N8" s="5">
        <f t="shared" si="3"/>
        <v>1.9803843341902549E-2</v>
      </c>
      <c r="O8" s="6">
        <f t="shared" si="4"/>
        <v>0.94999943228288797</v>
      </c>
      <c r="P8" s="6">
        <f t="shared" si="5"/>
        <v>0.95038614026969304</v>
      </c>
      <c r="Q8" s="6">
        <f t="shared" si="0"/>
        <v>0.94999943228288797</v>
      </c>
      <c r="R8" s="5">
        <f t="shared" si="6"/>
        <v>1.9803843341902549E-2</v>
      </c>
      <c r="S8" s="6"/>
    </row>
    <row r="9" spans="1:19" x14ac:dyDescent="0.25">
      <c r="A9" s="3">
        <v>42795</v>
      </c>
      <c r="B9" s="6">
        <v>0.93800001068219097</v>
      </c>
      <c r="C9" s="6">
        <v>0.93838183421110699</v>
      </c>
      <c r="D9" s="6">
        <v>0.93800001068219097</v>
      </c>
      <c r="E9" s="6">
        <v>0.93838183421110699</v>
      </c>
      <c r="F9" s="6">
        <v>0.93799982218520395</v>
      </c>
      <c r="G9" s="6">
        <v>0.93826967091443303</v>
      </c>
      <c r="H9" s="6">
        <v>0.93799982218520395</v>
      </c>
      <c r="I9" s="6">
        <v>0.93826967091443303</v>
      </c>
      <c r="J9" s="1">
        <f t="shared" si="1"/>
        <v>42795</v>
      </c>
      <c r="K9" s="6">
        <f t="shared" si="7"/>
        <v>0.93800001068219097</v>
      </c>
      <c r="L9" s="6">
        <f t="shared" si="8"/>
        <v>0.93838183421110699</v>
      </c>
      <c r="M9" s="6">
        <f t="shared" si="2"/>
        <v>0.93819092244664892</v>
      </c>
      <c r="N9" s="5">
        <f t="shared" si="3"/>
        <v>-1.263097763210308E-2</v>
      </c>
      <c r="O9" s="6">
        <f t="shared" si="4"/>
        <v>0.93800001068219097</v>
      </c>
      <c r="P9" s="6">
        <f t="shared" si="5"/>
        <v>0.93838183421110699</v>
      </c>
      <c r="Q9" s="6">
        <f t="shared" si="0"/>
        <v>0.93800001068219097</v>
      </c>
      <c r="R9" s="5">
        <f t="shared" si="6"/>
        <v>-1.263097763210308E-2</v>
      </c>
      <c r="S9" s="6"/>
    </row>
    <row r="10" spans="1:19" x14ac:dyDescent="0.25">
      <c r="A10" s="3">
        <v>42826</v>
      </c>
      <c r="B10" s="6">
        <v>1.0170067163154499</v>
      </c>
      <c r="C10" s="6">
        <v>1.01742070050781</v>
      </c>
      <c r="D10" s="6">
        <v>1.0170067163154499</v>
      </c>
      <c r="E10" s="6">
        <v>1.01742070050781</v>
      </c>
      <c r="F10" s="6">
        <v>1.0170072728241399</v>
      </c>
      <c r="G10" s="6">
        <v>1.0172998508084199</v>
      </c>
      <c r="H10" s="6">
        <v>1.0170072728241399</v>
      </c>
      <c r="I10" s="6">
        <v>1.0172998508084199</v>
      </c>
      <c r="J10" s="1">
        <f t="shared" si="1"/>
        <v>42826</v>
      </c>
      <c r="K10" s="6">
        <f t="shared" si="7"/>
        <v>1.0170067163154499</v>
      </c>
      <c r="L10" s="6">
        <f t="shared" si="8"/>
        <v>1.01742070050781</v>
      </c>
      <c r="M10" s="6">
        <f t="shared" si="2"/>
        <v>1.0172137084116299</v>
      </c>
      <c r="N10" s="5">
        <f t="shared" si="3"/>
        <v>8.4228896351824067E-2</v>
      </c>
      <c r="O10" s="6">
        <f t="shared" si="4"/>
        <v>1.0170067163154499</v>
      </c>
      <c r="P10" s="6">
        <f t="shared" si="5"/>
        <v>1.01742070050781</v>
      </c>
      <c r="Q10" s="6">
        <f t="shared" si="0"/>
        <v>1.0170067163154499</v>
      </c>
      <c r="R10" s="5">
        <f t="shared" si="6"/>
        <v>8.4228896351824067E-2</v>
      </c>
      <c r="S10" s="6"/>
    </row>
    <row r="11" spans="1:19" x14ac:dyDescent="0.25">
      <c r="A11" s="3">
        <v>42856</v>
      </c>
      <c r="B11" s="6">
        <v>0.96611889507414705</v>
      </c>
      <c r="C11" s="6">
        <v>0.96651216476302504</v>
      </c>
      <c r="D11" s="6">
        <v>0.96611889507414705</v>
      </c>
      <c r="E11" s="6">
        <v>0.96651216476302504</v>
      </c>
      <c r="F11" s="6">
        <v>0.96611865229223004</v>
      </c>
      <c r="G11" s="6">
        <v>0.96639659037951398</v>
      </c>
      <c r="H11" s="6">
        <v>0.96611865229223004</v>
      </c>
      <c r="I11" s="6">
        <v>0.96639659037951398</v>
      </c>
      <c r="J11" s="1">
        <f t="shared" si="1"/>
        <v>42856</v>
      </c>
      <c r="K11" s="6">
        <f t="shared" si="7"/>
        <v>0.96611889507414705</v>
      </c>
      <c r="L11" s="6">
        <f t="shared" si="8"/>
        <v>0.96651216476302504</v>
      </c>
      <c r="M11" s="6">
        <f t="shared" si="2"/>
        <v>0.96631552991858605</v>
      </c>
      <c r="N11" s="5">
        <f t="shared" si="3"/>
        <v>-5.0036858599281864E-2</v>
      </c>
      <c r="O11" s="6">
        <f t="shared" si="4"/>
        <v>0.96611889507414705</v>
      </c>
      <c r="P11" s="6">
        <f t="shared" si="5"/>
        <v>0.96651216476302504</v>
      </c>
      <c r="Q11" s="6">
        <f t="shared" si="0"/>
        <v>0.96611889507414705</v>
      </c>
      <c r="R11" s="5">
        <f t="shared" si="6"/>
        <v>-5.0036858599281864E-2</v>
      </c>
      <c r="S11" s="6"/>
    </row>
    <row r="12" spans="1:19" x14ac:dyDescent="0.25">
      <c r="A12" s="3">
        <v>42887</v>
      </c>
      <c r="B12" s="6">
        <v>0.96424341215679499</v>
      </c>
      <c r="C12" s="6">
        <v>0.96463591848667896</v>
      </c>
      <c r="D12" s="6">
        <v>0.96424341215679499</v>
      </c>
      <c r="E12" s="6">
        <v>0.96463591848667896</v>
      </c>
      <c r="F12" s="6">
        <v>0.96424335048785303</v>
      </c>
      <c r="G12" s="6">
        <v>0.96452074904343499</v>
      </c>
      <c r="H12" s="6">
        <v>0.96424335048785303</v>
      </c>
      <c r="I12" s="6">
        <v>0.96452074904343499</v>
      </c>
      <c r="J12" s="1">
        <f t="shared" si="1"/>
        <v>42887</v>
      </c>
      <c r="K12" s="6">
        <f t="shared" si="7"/>
        <v>0.96424341215679499</v>
      </c>
      <c r="L12" s="6">
        <f t="shared" si="8"/>
        <v>0.96463591848667896</v>
      </c>
      <c r="M12" s="6">
        <f t="shared" si="2"/>
        <v>0.96443966532173697</v>
      </c>
      <c r="N12" s="5">
        <f t="shared" si="3"/>
        <v>-1.9412547338518715E-3</v>
      </c>
      <c r="O12" s="6">
        <f t="shared" si="4"/>
        <v>0.96424341215679499</v>
      </c>
      <c r="P12" s="6">
        <f t="shared" si="5"/>
        <v>0.96463591848667896</v>
      </c>
      <c r="Q12" s="6">
        <f t="shared" si="0"/>
        <v>0.96424341215679499</v>
      </c>
      <c r="R12" s="5">
        <f t="shared" si="6"/>
        <v>-1.9412547338518715E-3</v>
      </c>
      <c r="S12" s="6"/>
    </row>
    <row r="13" spans="1:19" x14ac:dyDescent="0.25">
      <c r="A13" s="3">
        <v>42917</v>
      </c>
      <c r="B13" s="6">
        <v>0.97919185599448599</v>
      </c>
      <c r="C13" s="6">
        <v>0.97959044724198896</v>
      </c>
      <c r="D13" s="6">
        <v>0.97919185599448599</v>
      </c>
      <c r="E13" s="6">
        <v>0.97959044724198896</v>
      </c>
      <c r="F13" s="6">
        <v>0.97919178658784001</v>
      </c>
      <c r="G13" s="6">
        <v>0.97947348566750303</v>
      </c>
      <c r="H13" s="6">
        <v>0.97919178658784001</v>
      </c>
      <c r="I13" s="6">
        <v>0.97947348566750303</v>
      </c>
      <c r="J13" s="1">
        <f t="shared" si="1"/>
        <v>42917</v>
      </c>
      <c r="K13" s="6">
        <f t="shared" si="7"/>
        <v>0.97919185599448599</v>
      </c>
      <c r="L13" s="6">
        <f t="shared" si="8"/>
        <v>0.97959044724198896</v>
      </c>
      <c r="M13" s="6">
        <f t="shared" si="2"/>
        <v>0.97939115161823742</v>
      </c>
      <c r="N13" s="5">
        <f t="shared" ref="N13:N42" si="9">IF(K$3=1,(B13/B12)-1,IF(L$3=1,(C13/C12)-1,(AVERAGE(B13:C13)/AVERAGE(B12:C12)-1)))*(1+N$4)</f>
        <v>9.3016619913777621E-3</v>
      </c>
      <c r="O13" s="6">
        <f t="shared" si="4"/>
        <v>0.97919185599448599</v>
      </c>
      <c r="P13" s="6">
        <f t="shared" si="5"/>
        <v>0.97959044724198896</v>
      </c>
      <c r="Q13" s="6">
        <f t="shared" si="0"/>
        <v>0.97919185599448599</v>
      </c>
      <c r="R13" s="5">
        <f t="shared" ref="R13:R21" si="10">IF(O$3=1,(D13/D12)-1,IF(P$3=1,(E13/E12)-1,(AVERAGE(D13:E13)/AVERAGE(D12:E12)-1)))*(1+R$4)</f>
        <v>1.7053046984192567E-2</v>
      </c>
      <c r="S13" s="6"/>
    </row>
    <row r="14" spans="1:19" x14ac:dyDescent="0.25">
      <c r="A14" s="3">
        <v>42948</v>
      </c>
      <c r="B14" s="6">
        <v>0.98497858296406604</v>
      </c>
      <c r="C14" s="6">
        <v>0.98537952970546305</v>
      </c>
      <c r="D14" s="6">
        <v>0.98497858296406604</v>
      </c>
      <c r="E14" s="6">
        <v>0.98537952970546305</v>
      </c>
      <c r="F14" s="6">
        <v>0.98497877552021695</v>
      </c>
      <c r="G14" s="6">
        <v>0.98526213941638896</v>
      </c>
      <c r="H14" s="6">
        <v>0.98497877552021695</v>
      </c>
      <c r="I14" s="6">
        <v>0.98526213941638896</v>
      </c>
      <c r="J14" s="1">
        <f t="shared" si="1"/>
        <v>42948</v>
      </c>
      <c r="K14" s="6">
        <f t="shared" si="7"/>
        <v>0.98497858296406604</v>
      </c>
      <c r="L14" s="6">
        <f t="shared" si="8"/>
        <v>0.98537952970546305</v>
      </c>
      <c r="M14" s="6">
        <f t="shared" si="2"/>
        <v>0.98517905633476455</v>
      </c>
      <c r="N14" s="5">
        <f t="shared" si="9"/>
        <v>3.5458180566347417E-3</v>
      </c>
      <c r="O14" s="6">
        <f t="shared" si="4"/>
        <v>0.98497858296406604</v>
      </c>
      <c r="P14" s="6">
        <f t="shared" si="5"/>
        <v>0.98537952970546305</v>
      </c>
      <c r="Q14" s="6">
        <f t="shared" si="0"/>
        <v>0.98497858296406604</v>
      </c>
      <c r="R14" s="5">
        <f t="shared" si="10"/>
        <v>6.5006664371636937E-3</v>
      </c>
      <c r="S14" s="6"/>
    </row>
    <row r="15" spans="1:19" x14ac:dyDescent="0.25">
      <c r="A15" s="3">
        <v>42979</v>
      </c>
      <c r="B15" s="6">
        <v>0.95534670873966099</v>
      </c>
      <c r="C15" s="6">
        <v>0.95573559365891103</v>
      </c>
      <c r="D15" s="6">
        <v>0.95534670873966099</v>
      </c>
      <c r="E15" s="6">
        <v>0.95573559365891103</v>
      </c>
      <c r="F15" s="6">
        <v>0.95534665539723196</v>
      </c>
      <c r="G15" s="6">
        <v>0.955621494580984</v>
      </c>
      <c r="H15" s="6">
        <v>0.95534665539723196</v>
      </c>
      <c r="I15" s="6">
        <v>0.955621494580984</v>
      </c>
      <c r="J15" s="1">
        <f t="shared" si="1"/>
        <v>42979</v>
      </c>
      <c r="K15" s="6">
        <f t="shared" si="7"/>
        <v>0.95534670873966099</v>
      </c>
      <c r="L15" s="6">
        <f t="shared" si="8"/>
        <v>0.95573559365891103</v>
      </c>
      <c r="M15" s="6">
        <f t="shared" si="2"/>
        <v>0.95554115119928595</v>
      </c>
      <c r="N15" s="5">
        <f t="shared" si="9"/>
        <v>-1.8050265042626523E-2</v>
      </c>
      <c r="O15" s="6">
        <f t="shared" si="4"/>
        <v>0.95534670873966099</v>
      </c>
      <c r="P15" s="6">
        <f t="shared" si="5"/>
        <v>0.95573559365891103</v>
      </c>
      <c r="Q15" s="6">
        <f t="shared" si="0"/>
        <v>0.95534670873966099</v>
      </c>
      <c r="R15" s="5">
        <f t="shared" si="10"/>
        <v>-3.3092152578148626E-2</v>
      </c>
      <c r="S15" s="6"/>
    </row>
    <row r="16" spans="1:19" x14ac:dyDescent="0.25">
      <c r="A16" s="3">
        <v>43009</v>
      </c>
      <c r="B16" s="6">
        <v>0.98373239368980103</v>
      </c>
      <c r="C16" s="6">
        <v>0.98413283324519196</v>
      </c>
      <c r="D16" s="6">
        <v>0.98373239368980103</v>
      </c>
      <c r="E16" s="6">
        <v>0.98413283324519196</v>
      </c>
      <c r="F16" s="6">
        <v>0.98373226369720401</v>
      </c>
      <c r="G16" s="6">
        <v>0.98401526910627202</v>
      </c>
      <c r="H16" s="6">
        <v>0.98373226369720401</v>
      </c>
      <c r="I16" s="6">
        <v>0.98401526910627202</v>
      </c>
      <c r="J16" s="1">
        <f t="shared" si="1"/>
        <v>43009</v>
      </c>
      <c r="K16" s="6">
        <f t="shared" si="7"/>
        <v>0.98373239368980103</v>
      </c>
      <c r="L16" s="6">
        <f t="shared" si="8"/>
        <v>0.98413283324519196</v>
      </c>
      <c r="M16" s="6">
        <f t="shared" si="2"/>
        <v>0.9839326134674965</v>
      </c>
      <c r="N16" s="5">
        <f t="shared" si="9"/>
        <v>1.7827465975218493E-2</v>
      </c>
      <c r="O16" s="6">
        <f t="shared" si="4"/>
        <v>0.98373239368980103</v>
      </c>
      <c r="P16" s="6">
        <f t="shared" si="5"/>
        <v>0.98413283324519196</v>
      </c>
      <c r="Q16" s="6">
        <f t="shared" si="0"/>
        <v>0.98373239368980103</v>
      </c>
      <c r="R16" s="5">
        <f t="shared" si="10"/>
        <v>3.2683687621233908E-2</v>
      </c>
      <c r="S16" s="6"/>
    </row>
    <row r="17" spans="1:20" x14ac:dyDescent="0.25">
      <c r="A17" s="3">
        <v>43040</v>
      </c>
      <c r="B17" s="6">
        <v>0.98275457577251801</v>
      </c>
      <c r="C17" s="6">
        <v>0.98315461733285703</v>
      </c>
      <c r="D17" s="6">
        <v>0.98275457577251801</v>
      </c>
      <c r="E17" s="6">
        <v>0.98315461733285703</v>
      </c>
      <c r="F17" s="6">
        <v>0.98275461127847497</v>
      </c>
      <c r="G17" s="6">
        <v>0.98303733538591398</v>
      </c>
      <c r="H17" s="6">
        <v>0.98275461127847497</v>
      </c>
      <c r="I17" s="6">
        <v>0.98303733538591398</v>
      </c>
      <c r="J17" s="1">
        <f t="shared" si="1"/>
        <v>43040</v>
      </c>
      <c r="K17" s="6">
        <f t="shared" si="7"/>
        <v>0.98275457577251801</v>
      </c>
      <c r="L17" s="6">
        <f t="shared" si="8"/>
        <v>0.98315461733285703</v>
      </c>
      <c r="M17" s="6">
        <f t="shared" si="2"/>
        <v>0.98295459655268758</v>
      </c>
      <c r="N17" s="5">
        <f t="shared" si="9"/>
        <v>-5.9639261963004839E-4</v>
      </c>
      <c r="O17" s="6">
        <f t="shared" si="4"/>
        <v>0.98275457577251801</v>
      </c>
      <c r="P17" s="6">
        <f t="shared" si="5"/>
        <v>0.98315461733285703</v>
      </c>
      <c r="Q17" s="6">
        <f t="shared" si="0"/>
        <v>0.98275457577251801</v>
      </c>
      <c r="R17" s="5">
        <f t="shared" si="10"/>
        <v>-1.0933864693217555E-3</v>
      </c>
      <c r="S17" s="6"/>
    </row>
    <row r="18" spans="1:20" x14ac:dyDescent="0.25">
      <c r="A18" s="3">
        <v>43070</v>
      </c>
      <c r="B18" s="6">
        <v>0.93801628723429098</v>
      </c>
      <c r="C18" s="6">
        <v>0.93839811748576296</v>
      </c>
      <c r="D18" s="6">
        <v>0.93801628723429098</v>
      </c>
      <c r="E18" s="6">
        <v>0.93839811748576296</v>
      </c>
      <c r="F18" s="6">
        <v>0.93801628628538702</v>
      </c>
      <c r="G18" s="6">
        <v>0.93828613985059295</v>
      </c>
      <c r="H18" s="6">
        <v>0.93801628628538702</v>
      </c>
      <c r="I18" s="6">
        <v>0.93828613985059295</v>
      </c>
      <c r="J18" s="1">
        <f t="shared" si="1"/>
        <v>43070</v>
      </c>
      <c r="K18" s="6">
        <f t="shared" si="7"/>
        <v>0.93801628723429098</v>
      </c>
      <c r="L18" s="6">
        <f t="shared" si="8"/>
        <v>0.93839811748576296</v>
      </c>
      <c r="M18" s="6">
        <f t="shared" si="2"/>
        <v>0.93820720236002697</v>
      </c>
      <c r="N18" s="5">
        <f t="shared" si="9"/>
        <v>-2.7314014919667982E-2</v>
      </c>
      <c r="O18" s="6">
        <f t="shared" si="4"/>
        <v>0.93801628723429098</v>
      </c>
      <c r="P18" s="6">
        <f t="shared" si="5"/>
        <v>0.93839811748576296</v>
      </c>
      <c r="Q18" s="6">
        <f t="shared" si="0"/>
        <v>0.93801628723429098</v>
      </c>
      <c r="R18" s="5">
        <f t="shared" si="10"/>
        <v>-5.0075694019391305E-2</v>
      </c>
      <c r="S18" s="6"/>
    </row>
    <row r="19" spans="1:20" x14ac:dyDescent="0.25">
      <c r="A19" s="3">
        <v>43101</v>
      </c>
      <c r="B19" s="6">
        <v>0.932631279554753</v>
      </c>
      <c r="C19" s="6">
        <v>0.93301091801776803</v>
      </c>
      <c r="D19" s="6">
        <v>0.932631279554753</v>
      </c>
      <c r="E19" s="6">
        <v>0.93301091801776803</v>
      </c>
      <c r="F19" s="6">
        <v>0.93263127577069305</v>
      </c>
      <c r="G19" s="6">
        <v>0.93289958026923803</v>
      </c>
      <c r="H19" s="6">
        <v>0.93263127577069305</v>
      </c>
      <c r="I19" s="6">
        <v>0.93289958026923803</v>
      </c>
      <c r="J19" s="1">
        <f t="shared" si="1"/>
        <v>43101</v>
      </c>
      <c r="K19" s="6">
        <f t="shared" si="7"/>
        <v>0.932631279554753</v>
      </c>
      <c r="L19" s="6">
        <f t="shared" si="8"/>
        <v>0.93301091801776803</v>
      </c>
      <c r="M19" s="6">
        <f t="shared" si="2"/>
        <v>0.93282109878626052</v>
      </c>
      <c r="N19" s="5">
        <f t="shared" si="9"/>
        <v>-3.4445079254675991E-3</v>
      </c>
      <c r="O19" s="6">
        <f t="shared" si="4"/>
        <v>0.932631279554753</v>
      </c>
      <c r="P19" s="6">
        <f t="shared" si="5"/>
        <v>0.93301091801776803</v>
      </c>
      <c r="Q19" s="6">
        <f t="shared" si="0"/>
        <v>0.932631279554753</v>
      </c>
      <c r="R19" s="5">
        <f t="shared" si="10"/>
        <v>-6.3149311966905989E-3</v>
      </c>
      <c r="S19" s="6"/>
    </row>
    <row r="20" spans="1:20" x14ac:dyDescent="0.25">
      <c r="A20" s="3">
        <v>43132</v>
      </c>
      <c r="B20" s="6">
        <v>0.96093338425340502</v>
      </c>
      <c r="C20" s="6">
        <v>0.96132454306271098</v>
      </c>
      <c r="D20" s="6">
        <v>0.96093338425340502</v>
      </c>
      <c r="E20" s="6">
        <v>0.96132454306271098</v>
      </c>
      <c r="F20" s="6">
        <v>0.96093377402177804</v>
      </c>
      <c r="G20" s="6">
        <v>0.96121022059220995</v>
      </c>
      <c r="H20" s="6">
        <v>0.96093377402177804</v>
      </c>
      <c r="I20" s="6">
        <v>0.96121022059220995</v>
      </c>
      <c r="J20" s="1">
        <f t="shared" si="1"/>
        <v>43132</v>
      </c>
      <c r="K20" s="6">
        <f t="shared" si="7"/>
        <v>0.96093338425340502</v>
      </c>
      <c r="L20" s="6">
        <f t="shared" si="8"/>
        <v>0.96132454306271098</v>
      </c>
      <c r="M20" s="6">
        <f t="shared" si="2"/>
        <v>0.961128963658058</v>
      </c>
      <c r="N20" s="5">
        <f t="shared" si="9"/>
        <v>1.8207906044554623E-2</v>
      </c>
      <c r="O20" s="6">
        <f t="shared" si="4"/>
        <v>0.96093338425340502</v>
      </c>
      <c r="P20" s="6">
        <f t="shared" si="5"/>
        <v>0.96132454306271098</v>
      </c>
      <c r="Q20" s="6">
        <f t="shared" si="0"/>
        <v>0.96093338425340502</v>
      </c>
      <c r="R20" s="5">
        <f t="shared" si="10"/>
        <v>3.3381161081683479E-2</v>
      </c>
      <c r="S20" s="6"/>
    </row>
    <row r="21" spans="1:20" x14ac:dyDescent="0.25">
      <c r="A21" s="3">
        <v>43160</v>
      </c>
      <c r="B21" s="6">
        <v>0.93828197374893096</v>
      </c>
      <c r="C21" s="6">
        <v>0.93866391348066003</v>
      </c>
      <c r="D21" s="6">
        <v>0.93828197374893096</v>
      </c>
      <c r="E21" s="6">
        <v>0.93866391348066003</v>
      </c>
      <c r="F21" s="6">
        <v>0.94608191879696502</v>
      </c>
      <c r="G21" s="6">
        <v>0.94635409265489701</v>
      </c>
      <c r="H21" s="6">
        <v>0.94608191879696502</v>
      </c>
      <c r="I21" s="6">
        <v>0.94635409265489701</v>
      </c>
      <c r="J21" s="1">
        <f t="shared" si="1"/>
        <v>43160</v>
      </c>
      <c r="K21" s="6">
        <f t="shared" si="7"/>
        <v>0.93828197374893096</v>
      </c>
      <c r="L21" s="6">
        <f t="shared" si="8"/>
        <v>0.93866391348066003</v>
      </c>
      <c r="M21" s="6">
        <f t="shared" si="2"/>
        <v>0.9384729436147955</v>
      </c>
      <c r="N21" s="5">
        <f t="shared" si="9"/>
        <v>-1.4143379858432503E-2</v>
      </c>
      <c r="O21" s="6">
        <f t="shared" si="4"/>
        <v>0.93828197374893096</v>
      </c>
      <c r="P21" s="6">
        <f t="shared" si="5"/>
        <v>0.93866391348066003</v>
      </c>
      <c r="Q21" s="6">
        <f>K21</f>
        <v>0.93828197374893096</v>
      </c>
      <c r="R21" s="5">
        <f t="shared" si="10"/>
        <v>-2.5929529740459593E-2</v>
      </c>
      <c r="S21" s="6"/>
    </row>
    <row r="22" spans="1:20" x14ac:dyDescent="0.25">
      <c r="A22" s="3">
        <v>43191</v>
      </c>
      <c r="B22" s="6">
        <v>0.95971659964487699</v>
      </c>
      <c r="C22" s="6">
        <v>1.11554575100973</v>
      </c>
      <c r="D22" s="6">
        <v>0.98032630678643995</v>
      </c>
      <c r="E22" s="6">
        <v>1.14545436646764</v>
      </c>
      <c r="F22" s="6">
        <v>0.98477066846108696</v>
      </c>
      <c r="G22" s="6">
        <v>0.98505397242592396</v>
      </c>
      <c r="H22" s="6">
        <v>0.98477066846108696</v>
      </c>
      <c r="I22" s="6">
        <v>0.98505397242592396</v>
      </c>
      <c r="J22" s="1">
        <f t="shared" si="1"/>
        <v>43191</v>
      </c>
      <c r="K22" s="6">
        <f t="shared" si="7"/>
        <v>0.95971659964487699</v>
      </c>
      <c r="L22" s="6">
        <f t="shared" si="8"/>
        <v>1.11554575100973</v>
      </c>
      <c r="M22" s="6">
        <f t="shared" si="2"/>
        <v>1.0376311753273035</v>
      </c>
      <c r="N22" s="5">
        <f t="shared" si="9"/>
        <v>6.339547605745896E-2</v>
      </c>
      <c r="O22" s="6">
        <f t="shared" si="4"/>
        <v>0.98032630678643995</v>
      </c>
      <c r="P22" s="6">
        <f t="shared" si="5"/>
        <v>1.14545436646764</v>
      </c>
      <c r="Q22" s="6">
        <f t="shared" ref="Q22:Q42" si="11">IF(Q$3=1,Q21*(1+$R22),AVERAGE(D22:E22))</f>
        <v>1.0626740490650006</v>
      </c>
      <c r="R22" s="14">
        <f>IF(O$3=1,(D22/D21)-1,IF(P$3=1,(E22/E21)-1,(AVERAGE(O22:P22)/AVERAGE(O21:P21)-1)))</f>
        <v>0.13257429940709375</v>
      </c>
      <c r="S22" s="6"/>
      <c r="T22" s="5"/>
    </row>
    <row r="23" spans="1:20" x14ac:dyDescent="0.25">
      <c r="A23" s="3">
        <v>43221</v>
      </c>
      <c r="B23" s="6">
        <v>0.950524225598676</v>
      </c>
      <c r="C23" s="6">
        <v>1.1753788515938399</v>
      </c>
      <c r="D23" s="6">
        <v>0.991107641524963</v>
      </c>
      <c r="E23" s="6">
        <v>1.23938854398876</v>
      </c>
      <c r="F23" s="6">
        <v>0.97013884673883799</v>
      </c>
      <c r="G23" s="6">
        <v>0.97041794139962501</v>
      </c>
      <c r="H23" s="6">
        <v>0.97013884673883799</v>
      </c>
      <c r="I23" s="6">
        <v>0.97041794139962501</v>
      </c>
      <c r="J23" s="1">
        <f t="shared" si="1"/>
        <v>43221</v>
      </c>
      <c r="K23" s="6">
        <f t="shared" si="7"/>
        <v>0.950524225598676</v>
      </c>
      <c r="L23" s="6">
        <f t="shared" si="8"/>
        <v>1.1753788515938399</v>
      </c>
      <c r="M23" s="6">
        <f t="shared" si="2"/>
        <v>1.062951538596258</v>
      </c>
      <c r="N23" s="5">
        <f t="shared" si="9"/>
        <v>1.4641250496912405E-2</v>
      </c>
      <c r="O23" s="6">
        <f t="shared" si="4"/>
        <v>0.991107641524963</v>
      </c>
      <c r="P23" s="6">
        <f t="shared" si="5"/>
        <v>1.23938854398876</v>
      </c>
      <c r="Q23" s="6">
        <f t="shared" si="11"/>
        <v>1.115021150914661</v>
      </c>
      <c r="R23" s="14">
        <f t="shared" ref="R23:R25" si="12">IF(O$3=1,(D23/D22)-1,IF(P$3=1,(E23/E22)-1,(AVERAGE(O23:P23)/AVERAGE(O22:P22)-1)))</f>
        <v>4.9259791274397058E-2</v>
      </c>
      <c r="S23" s="6"/>
      <c r="T23" s="5"/>
    </row>
    <row r="24" spans="1:20" x14ac:dyDescent="0.25">
      <c r="A24" s="3">
        <v>43252</v>
      </c>
      <c r="B24" s="6">
        <v>0.95398339794155196</v>
      </c>
      <c r="C24" s="6">
        <v>1.23911311268689</v>
      </c>
      <c r="D24" s="6">
        <v>1.0160757857242799</v>
      </c>
      <c r="E24" s="6">
        <v>1.35356166177127</v>
      </c>
      <c r="F24" s="6">
        <v>0.96186532832527305</v>
      </c>
      <c r="G24" s="6">
        <v>0.96214204283742399</v>
      </c>
      <c r="H24" s="6">
        <v>0.96186532832527305</v>
      </c>
      <c r="I24" s="6">
        <v>0.96214204283742399</v>
      </c>
      <c r="J24" s="1">
        <f t="shared" si="1"/>
        <v>43252</v>
      </c>
      <c r="K24" s="6">
        <f t="shared" si="7"/>
        <v>0.95398339794155196</v>
      </c>
      <c r="L24" s="6">
        <f t="shared" si="8"/>
        <v>1.23911311268689</v>
      </c>
      <c r="M24" s="6">
        <f t="shared" si="2"/>
        <v>1.096548255314221</v>
      </c>
      <c r="N24" s="5">
        <f t="shared" si="9"/>
        <v>1.8964204198244648E-2</v>
      </c>
      <c r="O24" s="6">
        <f t="shared" si="4"/>
        <v>1.0160757857242799</v>
      </c>
      <c r="P24" s="6">
        <f t="shared" si="5"/>
        <v>1.35356166177127</v>
      </c>
      <c r="Q24" s="6">
        <f t="shared" si="11"/>
        <v>1.1845776249773872</v>
      </c>
      <c r="R24" s="14">
        <f t="shared" si="12"/>
        <v>6.2381304610830357E-2</v>
      </c>
      <c r="S24" s="6"/>
      <c r="T24" s="5"/>
    </row>
    <row r="25" spans="1:20" x14ac:dyDescent="0.25">
      <c r="A25" s="3">
        <v>43282</v>
      </c>
      <c r="B25" s="6">
        <v>0.96393487960429802</v>
      </c>
      <c r="C25" s="6">
        <v>1.3032328645728299</v>
      </c>
      <c r="D25" s="6">
        <v>1.03791408192104</v>
      </c>
      <c r="E25" s="6">
        <v>1.4375632789402799</v>
      </c>
      <c r="F25" s="6">
        <v>0.95610661288851495</v>
      </c>
      <c r="G25" s="6">
        <v>0.95638167065280899</v>
      </c>
      <c r="H25" s="6">
        <v>0.95610661288851495</v>
      </c>
      <c r="I25" s="6">
        <v>0.95638167065280899</v>
      </c>
      <c r="J25" s="1">
        <f t="shared" si="1"/>
        <v>43282</v>
      </c>
      <c r="K25" s="6">
        <f t="shared" si="7"/>
        <v>0.96393487960429802</v>
      </c>
      <c r="L25" s="6">
        <f t="shared" si="8"/>
        <v>1.3032328645728299</v>
      </c>
      <c r="M25" s="6">
        <f t="shared" si="2"/>
        <v>1.133583872088564</v>
      </c>
      <c r="N25" s="5">
        <f t="shared" si="9"/>
        <v>2.0264835548197756E-2</v>
      </c>
      <c r="O25" s="6">
        <f t="shared" si="4"/>
        <v>1.03791408192104</v>
      </c>
      <c r="P25" s="6">
        <f t="shared" si="5"/>
        <v>1.4375632789402799</v>
      </c>
      <c r="Q25" s="6">
        <f t="shared" si="11"/>
        <v>1.2374868129779164</v>
      </c>
      <c r="R25" s="14">
        <f t="shared" si="12"/>
        <v>4.4665023958678329E-2</v>
      </c>
      <c r="S25" s="6"/>
      <c r="T25" s="5"/>
    </row>
    <row r="26" spans="1:20" x14ac:dyDescent="0.25">
      <c r="A26" s="3">
        <v>43313</v>
      </c>
      <c r="B26" s="6">
        <v>0.94093792808773502</v>
      </c>
      <c r="C26" s="6">
        <v>1.31898609614161</v>
      </c>
      <c r="D26" s="6">
        <v>1.02461502915611</v>
      </c>
      <c r="E26" s="6">
        <v>1.4745146200228401</v>
      </c>
      <c r="F26" s="6">
        <v>0.95218424281117997</v>
      </c>
      <c r="G26" s="6">
        <v>0.95245817216283202</v>
      </c>
      <c r="H26" s="6">
        <v>0.95218424281117997</v>
      </c>
      <c r="I26" s="6">
        <v>0.95245817216283202</v>
      </c>
      <c r="J26" s="1">
        <f t="shared" si="1"/>
        <v>43313</v>
      </c>
      <c r="K26" s="6">
        <f t="shared" si="7"/>
        <v>0.94093792808773502</v>
      </c>
      <c r="L26" s="6">
        <f t="shared" si="8"/>
        <v>1.31898609614161</v>
      </c>
      <c r="M26" s="6">
        <f t="shared" si="2"/>
        <v>1.1299620121146725</v>
      </c>
      <c r="N26" s="5">
        <f t="shared" si="9"/>
        <v>-1.9170314943975919E-3</v>
      </c>
      <c r="O26" s="6">
        <f t="shared" si="4"/>
        <v>1.02461502915611</v>
      </c>
      <c r="P26" s="6">
        <f t="shared" si="5"/>
        <v>1.4745146200228401</v>
      </c>
      <c r="Q26" s="6">
        <f t="shared" si="11"/>
        <v>1.272476213291305</v>
      </c>
      <c r="R26" s="14">
        <f t="shared" ref="R26:R54" si="13">IF(O$3=1,(D26/D25)-1,IF(P$3=1,(E26/E25)-1,(AVERAGE(E26)/AVERAGE(E25)-1)))*(1+R$4)</f>
        <v>2.8274564178336049E-2</v>
      </c>
      <c r="S26" s="6"/>
      <c r="T26" s="5"/>
    </row>
    <row r="27" spans="1:20" x14ac:dyDescent="0.25">
      <c r="A27" s="3">
        <v>43344</v>
      </c>
      <c r="B27" s="6">
        <v>0.91830172456110304</v>
      </c>
      <c r="C27" s="6">
        <v>1.32847203620166</v>
      </c>
      <c r="D27" s="6">
        <v>1.0112794569905199</v>
      </c>
      <c r="E27" s="6">
        <v>1.4985388862246101</v>
      </c>
      <c r="F27" s="6">
        <v>0.95306273139602504</v>
      </c>
      <c r="G27" s="6">
        <v>0.95333691411224997</v>
      </c>
      <c r="H27" s="6">
        <v>0.95306273139602504</v>
      </c>
      <c r="I27" s="6">
        <v>0.95333691411224997</v>
      </c>
      <c r="J27" s="1">
        <f t="shared" si="1"/>
        <v>43344</v>
      </c>
      <c r="K27" s="6">
        <f t="shared" si="7"/>
        <v>0.91830172456110304</v>
      </c>
      <c r="L27" s="6">
        <f t="shared" si="8"/>
        <v>1.32847203620166</v>
      </c>
      <c r="M27" s="6">
        <f t="shared" si="2"/>
        <v>1.1233868803813816</v>
      </c>
      <c r="N27" s="5">
        <f t="shared" si="9"/>
        <v>-3.4913377597460605E-3</v>
      </c>
      <c r="O27" s="6">
        <f t="shared" si="4"/>
        <v>1.0112794569905199</v>
      </c>
      <c r="P27" s="6">
        <f t="shared" si="5"/>
        <v>1.4985388862246101</v>
      </c>
      <c r="Q27" s="6">
        <f t="shared" si="11"/>
        <v>1.2952819132519895</v>
      </c>
      <c r="R27" s="14">
        <f t="shared" si="13"/>
        <v>1.7922299625308381E-2</v>
      </c>
      <c r="S27" s="6"/>
      <c r="T27" s="5"/>
    </row>
    <row r="28" spans="1:20" x14ac:dyDescent="0.25">
      <c r="A28" s="3">
        <v>43374</v>
      </c>
      <c r="B28" s="6">
        <v>0.91055543487853297</v>
      </c>
      <c r="C28" s="6">
        <v>1.3553001062707799</v>
      </c>
      <c r="D28" s="6">
        <v>1.0137160602837101</v>
      </c>
      <c r="E28" s="6">
        <v>1.54149461904316</v>
      </c>
      <c r="F28" s="6">
        <v>0.94882739244879999</v>
      </c>
      <c r="G28" s="6">
        <v>1.09128034768237</v>
      </c>
      <c r="H28" s="6">
        <v>0.97297294983698202</v>
      </c>
      <c r="I28" s="6">
        <v>1.1211999483091799</v>
      </c>
      <c r="J28" s="1">
        <f t="shared" si="1"/>
        <v>43374</v>
      </c>
      <c r="K28" s="6">
        <f t="shared" si="7"/>
        <v>0.91055543487853297</v>
      </c>
      <c r="L28" s="6">
        <f t="shared" si="8"/>
        <v>1.3553001062707799</v>
      </c>
      <c r="M28" s="6">
        <f t="shared" si="2"/>
        <v>1.1329277705746565</v>
      </c>
      <c r="N28" s="5">
        <f t="shared" si="9"/>
        <v>5.0957815298871443E-3</v>
      </c>
      <c r="O28" s="6">
        <f t="shared" si="4"/>
        <v>1.0137160602837101</v>
      </c>
      <c r="P28" s="6">
        <f t="shared" si="5"/>
        <v>1.54149461904316</v>
      </c>
      <c r="Q28" s="6">
        <f t="shared" si="11"/>
        <v>1.3361242048548345</v>
      </c>
      <c r="R28" s="14">
        <f t="shared" si="13"/>
        <v>3.1531584888964126E-2</v>
      </c>
      <c r="S28" s="6"/>
      <c r="T28" s="5"/>
    </row>
    <row r="29" spans="1:20" x14ac:dyDescent="0.25">
      <c r="A29" s="3">
        <v>43405</v>
      </c>
      <c r="B29" s="6">
        <v>0.85184413944450699</v>
      </c>
      <c r="C29" s="6">
        <v>1.3039212216959</v>
      </c>
      <c r="D29" s="6">
        <v>0.95907307461329305</v>
      </c>
      <c r="E29" s="6">
        <v>1.48778773993042</v>
      </c>
      <c r="F29" s="6">
        <v>0.89124539703449701</v>
      </c>
      <c r="G29" s="6">
        <v>1.0891855288016199</v>
      </c>
      <c r="H29" s="6">
        <v>0.93720982346596104</v>
      </c>
      <c r="I29" s="6">
        <v>1.1489479849974999</v>
      </c>
      <c r="J29" s="1">
        <f t="shared" si="1"/>
        <v>43405</v>
      </c>
      <c r="K29" s="6">
        <f t="shared" si="7"/>
        <v>0.85184413944450699</v>
      </c>
      <c r="L29" s="6">
        <f t="shared" si="8"/>
        <v>1.3039212216959</v>
      </c>
      <c r="M29" s="6">
        <f t="shared" si="2"/>
        <v>1.0778826805702035</v>
      </c>
      <c r="N29" s="5">
        <f t="shared" si="9"/>
        <v>-2.9151950248266466E-2</v>
      </c>
      <c r="O29" s="6">
        <f t="shared" si="4"/>
        <v>0.95907307461329305</v>
      </c>
      <c r="P29" s="6">
        <f t="shared" si="5"/>
        <v>1.48778773993042</v>
      </c>
      <c r="Q29" s="6">
        <f t="shared" si="11"/>
        <v>1.284917430410357</v>
      </c>
      <c r="R29" s="14">
        <f t="shared" si="13"/>
        <v>-3.8324861010987338E-2</v>
      </c>
      <c r="S29" s="6"/>
      <c r="T29" s="5"/>
    </row>
    <row r="30" spans="1:20" x14ac:dyDescent="0.25">
      <c r="A30" s="3">
        <v>43435</v>
      </c>
      <c r="B30" s="6">
        <v>0.82303034103086703</v>
      </c>
      <c r="C30" s="6">
        <v>1.29255148708124</v>
      </c>
      <c r="D30" s="6">
        <v>0.93676694018715301</v>
      </c>
      <c r="E30" s="6">
        <v>1.4848461613406501</v>
      </c>
      <c r="F30" s="6">
        <v>0.86488389636929597</v>
      </c>
      <c r="G30" s="6">
        <v>1.10863661322146</v>
      </c>
      <c r="H30" s="6">
        <v>0.93276199155213702</v>
      </c>
      <c r="I30" s="6">
        <v>1.1984704478898101</v>
      </c>
      <c r="J30" s="1">
        <f t="shared" si="1"/>
        <v>43435</v>
      </c>
      <c r="K30" s="6">
        <f t="shared" si="7"/>
        <v>0.82303034103086703</v>
      </c>
      <c r="L30" s="6">
        <f t="shared" si="8"/>
        <v>1.29255148708124</v>
      </c>
      <c r="M30" s="6">
        <f t="shared" si="2"/>
        <v>1.0577909140560535</v>
      </c>
      <c r="N30" s="5">
        <f t="shared" si="9"/>
        <v>-1.1184018563238073E-2</v>
      </c>
      <c r="O30" s="6">
        <f t="shared" si="4"/>
        <v>0.93676694018715301</v>
      </c>
      <c r="P30" s="6">
        <f t="shared" si="5"/>
        <v>1.4848461613406501</v>
      </c>
      <c r="Q30" s="6">
        <f t="shared" si="11"/>
        <v>1.2821229093562962</v>
      </c>
      <c r="R30" s="14">
        <f t="shared" si="13"/>
        <v>-2.1748643048357555E-3</v>
      </c>
      <c r="S30" s="6"/>
      <c r="T30" s="5"/>
    </row>
    <row r="31" spans="1:20" x14ac:dyDescent="0.25">
      <c r="A31" s="3">
        <v>43466</v>
      </c>
      <c r="B31" s="6">
        <v>0.805108523482155</v>
      </c>
      <c r="C31" s="6">
        <v>1.29612520775032</v>
      </c>
      <c r="D31" s="6">
        <v>0.94616663521184996</v>
      </c>
      <c r="E31" s="6">
        <v>1.54790062581731</v>
      </c>
      <c r="F31" s="6">
        <v>0.85027091627501294</v>
      </c>
      <c r="G31" s="6">
        <v>1.1335876620974901</v>
      </c>
      <c r="H31" s="6">
        <v>0.94133841961401798</v>
      </c>
      <c r="I31" s="6">
        <v>1.2605281788513301</v>
      </c>
      <c r="J31" s="1">
        <f t="shared" si="1"/>
        <v>43466</v>
      </c>
      <c r="K31" s="6">
        <f t="shared" si="7"/>
        <v>0.805108523482155</v>
      </c>
      <c r="L31" s="6">
        <f t="shared" si="8"/>
        <v>1.29612520775032</v>
      </c>
      <c r="M31" s="6">
        <f t="shared" si="2"/>
        <v>1.0506168656162376</v>
      </c>
      <c r="N31" s="5">
        <f t="shared" si="9"/>
        <v>-4.0692626554943651E-3</v>
      </c>
      <c r="O31" s="6">
        <f t="shared" si="4"/>
        <v>0.94616663521184996</v>
      </c>
      <c r="P31" s="6">
        <f t="shared" si="5"/>
        <v>1.54790062581731</v>
      </c>
      <c r="Q31" s="6">
        <f t="shared" si="11"/>
        <v>1.3420132421748141</v>
      </c>
      <c r="R31" s="14">
        <f t="shared" si="13"/>
        <v>4.6711849840189328E-2</v>
      </c>
      <c r="S31" s="6"/>
      <c r="T31" s="5"/>
    </row>
    <row r="32" spans="1:20" x14ac:dyDescent="0.25">
      <c r="A32" s="3">
        <v>43497</v>
      </c>
      <c r="B32" s="6">
        <v>0.74743815708629802</v>
      </c>
      <c r="C32" s="6">
        <v>1.2333322172090899</v>
      </c>
      <c r="D32" s="6">
        <v>0.90695547197603299</v>
      </c>
      <c r="E32" s="6">
        <v>1.51881881641921</v>
      </c>
      <c r="F32" s="6">
        <v>0.79387806685372897</v>
      </c>
      <c r="G32" s="6">
        <v>1.1029602451124401</v>
      </c>
      <c r="H32" s="6">
        <v>0.90200442224739796</v>
      </c>
      <c r="I32" s="6">
        <v>1.2434083014381201</v>
      </c>
      <c r="J32" s="1">
        <f t="shared" si="1"/>
        <v>43497</v>
      </c>
      <c r="K32" s="6">
        <f t="shared" si="7"/>
        <v>0.74743815708629802</v>
      </c>
      <c r="L32" s="6">
        <f t="shared" si="8"/>
        <v>1.2333322172090899</v>
      </c>
      <c r="M32" s="6">
        <f t="shared" si="2"/>
        <v>0.99038518714769397</v>
      </c>
      <c r="N32" s="5">
        <f t="shared" si="9"/>
        <v>-3.4397893526988917E-2</v>
      </c>
      <c r="O32" s="6">
        <f t="shared" si="4"/>
        <v>0.90695547197603299</v>
      </c>
      <c r="P32" s="6">
        <f t="shared" si="5"/>
        <v>1.51881881641921</v>
      </c>
      <c r="Q32" s="6">
        <f t="shared" si="11"/>
        <v>1.3142782636274339</v>
      </c>
      <c r="R32" s="14">
        <f t="shared" si="13"/>
        <v>-2.0666695138144821E-2</v>
      </c>
      <c r="S32" s="6"/>
      <c r="T32" s="5"/>
    </row>
    <row r="33" spans="1:20" x14ac:dyDescent="0.25">
      <c r="A33" s="3">
        <v>43525</v>
      </c>
      <c r="B33" s="6">
        <v>0.73591601655907102</v>
      </c>
      <c r="C33" s="6">
        <v>1.2419928487585601</v>
      </c>
      <c r="D33" s="6">
        <v>0.91916087909876898</v>
      </c>
      <c r="E33" s="6">
        <v>1.57907207320207</v>
      </c>
      <c r="F33" s="6">
        <v>0.79144447690775099</v>
      </c>
      <c r="G33" s="6">
        <v>1.140914813388</v>
      </c>
      <c r="H33" s="6">
        <v>0.92111854500752799</v>
      </c>
      <c r="I33" s="6">
        <v>1.30854988440956</v>
      </c>
      <c r="J33" s="1">
        <f t="shared" si="1"/>
        <v>43525</v>
      </c>
      <c r="K33" s="6">
        <f t="shared" si="7"/>
        <v>0.73591601655907102</v>
      </c>
      <c r="L33" s="6">
        <f t="shared" si="8"/>
        <v>1.2419928487585601</v>
      </c>
      <c r="M33" s="6">
        <f t="shared" si="2"/>
        <v>0.98895443265881555</v>
      </c>
      <c r="N33" s="5">
        <f t="shared" si="9"/>
        <v>-8.6678668508701764E-4</v>
      </c>
      <c r="O33" s="6">
        <f t="shared" si="4"/>
        <v>0.91916087909876898</v>
      </c>
      <c r="P33" s="6">
        <f t="shared" si="5"/>
        <v>1.57907207320207</v>
      </c>
      <c r="Q33" s="6">
        <f t="shared" si="11"/>
        <v>1.3716310560283675</v>
      </c>
      <c r="R33" s="14">
        <f t="shared" si="13"/>
        <v>4.3638241602382305E-2</v>
      </c>
      <c r="S33" s="6"/>
      <c r="T33" s="5"/>
    </row>
    <row r="34" spans="1:20" x14ac:dyDescent="0.25">
      <c r="A34" s="3">
        <v>43556</v>
      </c>
      <c r="B34" s="6">
        <v>0.74385050801892405</v>
      </c>
      <c r="C34" s="6">
        <v>1.29215346509877</v>
      </c>
      <c r="D34" s="6">
        <v>0.95453167167548603</v>
      </c>
      <c r="E34" s="6">
        <v>1.6965831213460001</v>
      </c>
      <c r="F34" s="6">
        <v>0.80386083426140498</v>
      </c>
      <c r="G34" s="6">
        <v>1.1916500742817699</v>
      </c>
      <c r="H34" s="6">
        <v>0.94687466457746805</v>
      </c>
      <c r="I34" s="6">
        <v>1.3811480844509401</v>
      </c>
      <c r="J34" s="1">
        <f t="shared" si="1"/>
        <v>43556</v>
      </c>
      <c r="K34" s="6">
        <f t="shared" si="7"/>
        <v>0.74385050801892405</v>
      </c>
      <c r="L34" s="6">
        <f t="shared" si="8"/>
        <v>1.29215346509877</v>
      </c>
      <c r="M34" s="6">
        <f t="shared" si="2"/>
        <v>1.018001986558847</v>
      </c>
      <c r="N34" s="5">
        <f t="shared" si="9"/>
        <v>1.7623190477201289E-2</v>
      </c>
      <c r="O34" s="6">
        <f t="shared" si="4"/>
        <v>0.95453167167548603</v>
      </c>
      <c r="P34" s="6">
        <f t="shared" si="5"/>
        <v>1.6965831213460001</v>
      </c>
      <c r="Q34" s="6">
        <f t="shared" si="11"/>
        <v>1.4839121775652668</v>
      </c>
      <c r="R34" s="14">
        <f t="shared" si="13"/>
        <v>8.1859564963493336E-2</v>
      </c>
      <c r="S34" s="6"/>
    </row>
    <row r="35" spans="1:20" x14ac:dyDescent="0.25">
      <c r="A35" s="3">
        <v>43586</v>
      </c>
      <c r="B35" s="6">
        <v>0.73312414547836302</v>
      </c>
      <c r="C35" s="6">
        <v>1.3111943988797099</v>
      </c>
      <c r="D35" s="6">
        <v>0.965705821940255</v>
      </c>
      <c r="E35" s="6">
        <v>1.76662639429386</v>
      </c>
      <c r="F35" s="6">
        <v>0.79160475621760595</v>
      </c>
      <c r="G35" s="6">
        <v>1.20859996487767</v>
      </c>
      <c r="H35" s="6">
        <v>0.94282048033749899</v>
      </c>
      <c r="I35" s="6">
        <v>1.40640830874797</v>
      </c>
      <c r="J35" s="1">
        <f t="shared" si="1"/>
        <v>43586</v>
      </c>
      <c r="K35" s="6">
        <f t="shared" si="7"/>
        <v>0.73312414547836302</v>
      </c>
      <c r="L35" s="6">
        <f t="shared" si="8"/>
        <v>1.3111943988797099</v>
      </c>
      <c r="M35" s="6">
        <f t="shared" si="2"/>
        <v>1.0221592721790365</v>
      </c>
      <c r="N35" s="5">
        <f t="shared" si="9"/>
        <v>2.4502617922636635E-3</v>
      </c>
      <c r="O35" s="6">
        <f t="shared" si="4"/>
        <v>0.965705821940255</v>
      </c>
      <c r="P35" s="6">
        <f t="shared" si="5"/>
        <v>1.76662639429386</v>
      </c>
      <c r="Q35" s="6">
        <f t="shared" si="11"/>
        <v>1.5513016681323641</v>
      </c>
      <c r="R35" s="14">
        <f t="shared" si="13"/>
        <v>4.5413395473084407E-2</v>
      </c>
      <c r="S35" s="6"/>
    </row>
    <row r="36" spans="1:20" x14ac:dyDescent="0.25">
      <c r="A36" s="3">
        <v>43617</v>
      </c>
      <c r="B36" s="6">
        <v>0.73207551506526103</v>
      </c>
      <c r="C36" s="6">
        <v>1.3426095136227101</v>
      </c>
      <c r="D36" s="6">
        <v>0.99075120786919801</v>
      </c>
      <c r="E36" s="6">
        <v>1.8766306331331299</v>
      </c>
      <c r="F36" s="6">
        <v>0.78847253039257303</v>
      </c>
      <c r="G36" s="6">
        <v>1.23263429573955</v>
      </c>
      <c r="H36" s="6">
        <v>0.95027727991487199</v>
      </c>
      <c r="I36" s="6">
        <v>1.45368200600768</v>
      </c>
      <c r="J36" s="1">
        <f t="shared" si="1"/>
        <v>43617</v>
      </c>
      <c r="K36" s="6">
        <f t="shared" si="7"/>
        <v>0.73207551506526103</v>
      </c>
      <c r="L36" s="6">
        <f t="shared" si="8"/>
        <v>1.3426095136227101</v>
      </c>
      <c r="M36" s="6">
        <f t="shared" si="2"/>
        <v>1.0373425143439856</v>
      </c>
      <c r="N36" s="5">
        <f t="shared" si="9"/>
        <v>8.9124518525855127E-3</v>
      </c>
      <c r="O36" s="6">
        <f t="shared" si="4"/>
        <v>0.99075120786919801</v>
      </c>
      <c r="P36" s="6">
        <f t="shared" si="5"/>
        <v>1.8766306331331299</v>
      </c>
      <c r="Q36" s="6">
        <f t="shared" si="11"/>
        <v>1.6575577139723909</v>
      </c>
      <c r="R36" s="14">
        <f t="shared" si="13"/>
        <v>6.8494766699986873E-2</v>
      </c>
      <c r="S36" s="6"/>
    </row>
    <row r="37" spans="1:20" x14ac:dyDescent="0.25">
      <c r="A37" s="3">
        <v>43647</v>
      </c>
      <c r="B37" s="6">
        <v>0.73559452049570495</v>
      </c>
      <c r="C37" s="6">
        <v>1.38484474572267</v>
      </c>
      <c r="D37" s="6">
        <v>1.01785364633288</v>
      </c>
      <c r="E37" s="6">
        <v>1.98296609137114</v>
      </c>
      <c r="F37" s="6">
        <v>0.79566211983284496</v>
      </c>
      <c r="G37" s="6">
        <v>1.27744348475</v>
      </c>
      <c r="H37" s="6">
        <v>0.96797554823270204</v>
      </c>
      <c r="I37" s="6">
        <v>1.5144229600380901</v>
      </c>
      <c r="J37" s="1">
        <f t="shared" si="1"/>
        <v>43647</v>
      </c>
      <c r="K37" s="6">
        <f t="shared" si="7"/>
        <v>0.73559452049570495</v>
      </c>
      <c r="L37" s="6">
        <f t="shared" si="8"/>
        <v>1.38484474572267</v>
      </c>
      <c r="M37" s="6">
        <f t="shared" si="2"/>
        <v>1.0602196331091875</v>
      </c>
      <c r="N37" s="5">
        <f t="shared" si="9"/>
        <v>1.3232149525657544E-2</v>
      </c>
      <c r="O37" s="6">
        <f t="shared" si="4"/>
        <v>1.01785364633288</v>
      </c>
      <c r="P37" s="6">
        <f t="shared" si="5"/>
        <v>1.98296609137114</v>
      </c>
      <c r="Q37" s="6">
        <f t="shared" si="11"/>
        <v>1.760872064465874</v>
      </c>
      <c r="R37" s="14">
        <f t="shared" si="13"/>
        <v>6.2329262880317308E-2</v>
      </c>
      <c r="S37" s="6"/>
    </row>
    <row r="38" spans="1:20" x14ac:dyDescent="0.25">
      <c r="A38" s="3">
        <v>43678</v>
      </c>
      <c r="B38" s="6">
        <v>0.71391528585682595</v>
      </c>
      <c r="C38" s="6">
        <v>1.37744353813265</v>
      </c>
      <c r="D38" s="6">
        <v>1.0107713549798401</v>
      </c>
      <c r="E38" s="6">
        <v>2.02641413470743</v>
      </c>
      <c r="F38" s="6">
        <v>0.78115845852630805</v>
      </c>
      <c r="G38" s="6">
        <v>1.2829272933660301</v>
      </c>
      <c r="H38" s="6">
        <v>0.95957678644871403</v>
      </c>
      <c r="I38" s="6">
        <v>1.5357490180237101</v>
      </c>
      <c r="J38" s="1">
        <f t="shared" si="1"/>
        <v>43678</v>
      </c>
      <c r="K38" s="6">
        <f t="shared" si="7"/>
        <v>0.71391528585682595</v>
      </c>
      <c r="L38" s="6">
        <f t="shared" si="8"/>
        <v>1.37744353813265</v>
      </c>
      <c r="M38" s="6">
        <f t="shared" si="2"/>
        <v>1.0456794119947379</v>
      </c>
      <c r="N38" s="5">
        <f t="shared" si="9"/>
        <v>-8.2286088620010956E-3</v>
      </c>
      <c r="O38" s="6">
        <f t="shared" si="4"/>
        <v>1.0107713549798401</v>
      </c>
      <c r="P38" s="6">
        <f t="shared" si="5"/>
        <v>2.02641413470743</v>
      </c>
      <c r="Q38" s="6">
        <f t="shared" si="11"/>
        <v>1.8033120692190776</v>
      </c>
      <c r="R38" s="14">
        <f t="shared" si="13"/>
        <v>2.4101696886239844E-2</v>
      </c>
      <c r="S38" s="6"/>
    </row>
    <row r="39" spans="1:20" x14ac:dyDescent="0.25">
      <c r="A39" s="3">
        <v>43709</v>
      </c>
      <c r="B39" s="6">
        <v>0.69273323169910594</v>
      </c>
      <c r="C39" s="6">
        <v>1.37186914850924</v>
      </c>
      <c r="D39" s="6">
        <v>1.0035330042211601</v>
      </c>
      <c r="E39" s="6">
        <v>2.05497230776498</v>
      </c>
      <c r="F39" s="6">
        <v>0.76764195314127204</v>
      </c>
      <c r="G39" s="6">
        <v>1.2911600696708501</v>
      </c>
      <c r="H39" s="6">
        <v>0.95160126530600997</v>
      </c>
      <c r="I39" s="6">
        <v>1.5519068620102501</v>
      </c>
      <c r="J39" s="1">
        <f t="shared" si="1"/>
        <v>43709</v>
      </c>
      <c r="K39" s="6">
        <f t="shared" si="7"/>
        <v>0.69273323169910594</v>
      </c>
      <c r="L39" s="6">
        <f t="shared" si="8"/>
        <v>1.37186914850924</v>
      </c>
      <c r="M39" s="6">
        <f t="shared" si="2"/>
        <v>1.032301190104173</v>
      </c>
      <c r="N39" s="5">
        <f t="shared" si="9"/>
        <v>-7.6762849514525611E-3</v>
      </c>
      <c r="O39" s="6">
        <f t="shared" si="4"/>
        <v>1.0035330042211601</v>
      </c>
      <c r="P39" s="6">
        <f t="shared" si="5"/>
        <v>2.05497230776498</v>
      </c>
      <c r="Q39" s="6">
        <f t="shared" si="11"/>
        <v>1.831267474283728</v>
      </c>
      <c r="R39" s="14">
        <f t="shared" si="13"/>
        <v>1.5502255844578629E-2</v>
      </c>
      <c r="S39" s="6"/>
    </row>
    <row r="40" spans="1:20" x14ac:dyDescent="0.25">
      <c r="A40" s="3">
        <v>43739</v>
      </c>
      <c r="B40" s="6">
        <v>0.68244199593189903</v>
      </c>
      <c r="C40" s="6">
        <v>1.38545257510526</v>
      </c>
      <c r="D40" s="6">
        <v>1.0184001127773901</v>
      </c>
      <c r="E40" s="6">
        <v>2.13864244685232</v>
      </c>
      <c r="F40" s="6">
        <v>0.76297999205987099</v>
      </c>
      <c r="G40" s="6">
        <v>1.3241682889378199</v>
      </c>
      <c r="H40" s="6">
        <v>0.95800966278462396</v>
      </c>
      <c r="I40" s="6">
        <v>1.61026297360424</v>
      </c>
      <c r="J40" s="1">
        <f t="shared" si="1"/>
        <v>43739</v>
      </c>
      <c r="K40" s="6">
        <f t="shared" si="7"/>
        <v>0.68244199593189903</v>
      </c>
      <c r="L40" s="6">
        <f t="shared" si="8"/>
        <v>1.38545257510526</v>
      </c>
      <c r="M40" s="6">
        <f t="shared" si="2"/>
        <v>1.0339472855185794</v>
      </c>
      <c r="N40" s="5">
        <f t="shared" si="9"/>
        <v>9.5675298848023609E-4</v>
      </c>
      <c r="O40" s="6">
        <f t="shared" si="4"/>
        <v>1.0184001127773901</v>
      </c>
      <c r="P40" s="6">
        <f t="shared" si="5"/>
        <v>2.13864244685232</v>
      </c>
      <c r="Q40" s="6">
        <f t="shared" si="11"/>
        <v>1.9132854382584823</v>
      </c>
      <c r="R40" s="14">
        <f t="shared" si="13"/>
        <v>4.4787539300797159E-2</v>
      </c>
      <c r="S40" s="6"/>
    </row>
    <row r="41" spans="1:20" x14ac:dyDescent="0.25">
      <c r="A41" s="3">
        <v>43770</v>
      </c>
      <c r="B41" s="6">
        <v>0.63416779380702104</v>
      </c>
      <c r="C41" s="6">
        <v>1.32498165024454</v>
      </c>
      <c r="D41" s="6">
        <v>0.97582850794911302</v>
      </c>
      <c r="E41" s="6">
        <v>2.0825118738208599</v>
      </c>
      <c r="F41" s="6">
        <v>0.71546475794465003</v>
      </c>
      <c r="G41" s="6">
        <v>1.28132620641963</v>
      </c>
      <c r="H41" s="6">
        <v>0.90901567432971997</v>
      </c>
      <c r="I41" s="6">
        <v>1.5645070521843101</v>
      </c>
      <c r="J41" s="1">
        <f t="shared" si="1"/>
        <v>43770</v>
      </c>
      <c r="K41" s="6">
        <f t="shared" si="7"/>
        <v>0.63416779380702104</v>
      </c>
      <c r="L41" s="6">
        <f t="shared" si="8"/>
        <v>1.32498165024454</v>
      </c>
      <c r="M41" s="6">
        <f t="shared" si="2"/>
        <v>0.97957472202578044</v>
      </c>
      <c r="N41" s="5">
        <f t="shared" si="9"/>
        <v>-3.1552419115174632E-2</v>
      </c>
      <c r="O41" s="6">
        <f t="shared" si="4"/>
        <v>0.97582850794911302</v>
      </c>
      <c r="P41" s="6">
        <f t="shared" si="5"/>
        <v>2.0825118738208599</v>
      </c>
      <c r="Q41" s="6">
        <f t="shared" si="11"/>
        <v>1.8580479725482666</v>
      </c>
      <c r="R41" s="14">
        <f t="shared" si="13"/>
        <v>-2.8870478291254911E-2</v>
      </c>
      <c r="S41" s="6"/>
    </row>
    <row r="42" spans="1:20" x14ac:dyDescent="0.25">
      <c r="A42" s="3">
        <v>43800</v>
      </c>
      <c r="B42" s="6">
        <v>0.60874950344277701</v>
      </c>
      <c r="C42" s="6">
        <v>1.3046625118324799</v>
      </c>
      <c r="D42" s="6">
        <v>0.96492819128975305</v>
      </c>
      <c r="E42" s="6">
        <v>2.10870751754813</v>
      </c>
      <c r="F42" s="6">
        <v>0.69316636005500698</v>
      </c>
      <c r="G42" s="6">
        <v>1.28369365041784</v>
      </c>
      <c r="H42" s="6">
        <v>0.89215647082530702</v>
      </c>
      <c r="I42" s="6">
        <v>1.5846338577676999</v>
      </c>
      <c r="J42" s="1">
        <f t="shared" si="1"/>
        <v>43800</v>
      </c>
      <c r="K42" s="6">
        <f t="shared" si="7"/>
        <v>0.60874950344277701</v>
      </c>
      <c r="L42" s="6">
        <f t="shared" si="8"/>
        <v>1.3046625118324799</v>
      </c>
      <c r="M42" s="6">
        <f t="shared" si="2"/>
        <v>0.95670600763762847</v>
      </c>
      <c r="N42" s="5">
        <f t="shared" si="9"/>
        <v>-1.4007332288562302E-2</v>
      </c>
      <c r="O42" s="6">
        <f t="shared" si="4"/>
        <v>0.96492819128975305</v>
      </c>
      <c r="P42" s="6">
        <f t="shared" si="5"/>
        <v>2.10870751754813</v>
      </c>
      <c r="Q42" s="6">
        <f t="shared" si="11"/>
        <v>1.8837573284764633</v>
      </c>
      <c r="R42" s="14">
        <f t="shared" si="13"/>
        <v>1.3836755728613781E-2</v>
      </c>
      <c r="S42" s="6"/>
    </row>
    <row r="43" spans="1:20" x14ac:dyDescent="0.25">
      <c r="A43" s="3">
        <v>43831</v>
      </c>
      <c r="B43" s="6">
        <v>0.59106901192135197</v>
      </c>
      <c r="C43" s="6">
        <v>1.2970557582812301</v>
      </c>
      <c r="D43" s="6">
        <v>0.948210279742285</v>
      </c>
      <c r="E43" s="6">
        <v>2.11217315165021</v>
      </c>
      <c r="F43" s="6">
        <v>0.680444802256437</v>
      </c>
      <c r="G43" s="6">
        <v>1.2916960183052</v>
      </c>
      <c r="H43" s="6">
        <v>0.87821003886730897</v>
      </c>
      <c r="I43" s="6">
        <v>1.6001891818705201</v>
      </c>
      <c r="J43" s="1">
        <f t="shared" si="1"/>
        <v>43831</v>
      </c>
      <c r="K43" s="6">
        <f t="shared" ref="K43:K54" si="14">IF(K$3=1,K42*(1+N43),B43)</f>
        <v>0.59106901192135197</v>
      </c>
      <c r="L43" s="6">
        <f t="shared" ref="L43:L54" si="15">IF(L$3=1,L42*(1+$N43),C43)</f>
        <v>1.2970557582812301</v>
      </c>
      <c r="M43" s="6">
        <f t="shared" ref="M43:M54" si="16">IF(M$3=1,M42*(1+$N43),AVERAGE(B43:C43))</f>
        <v>0.94406238510129104</v>
      </c>
      <c r="N43" s="5">
        <f t="shared" ref="N43:N54" si="17">IF(K$3=1,(B43/B42)-1,IF(L$3=1,(C43/C42)-1,(AVERAGE(B43:C43)/AVERAGE(B42:C42)-1)))*(1+N$4)</f>
        <v>-7.929472023004069E-3</v>
      </c>
      <c r="O43" s="6">
        <f t="shared" ref="O43:P54" si="18">IF(O$3=1,O42*(1+$R43),D43)</f>
        <v>0.948210279742285</v>
      </c>
      <c r="P43" s="6">
        <f t="shared" si="18"/>
        <v>2.11217315165021</v>
      </c>
      <c r="Q43" s="6">
        <f t="shared" ref="Q43:Q54" si="19">IF(Q$3=1,Q42*(1+$R43),AVERAGE(D43:E43))</f>
        <v>1.8871628529228894</v>
      </c>
      <c r="R43" s="14">
        <f t="shared" si="13"/>
        <v>1.8078360704669061E-3</v>
      </c>
    </row>
    <row r="44" spans="1:20" x14ac:dyDescent="0.25">
      <c r="A44" s="3">
        <v>43862</v>
      </c>
      <c r="B44" s="6">
        <v>0.54465315566926198</v>
      </c>
      <c r="C44" s="6">
        <v>1.22883752021772</v>
      </c>
      <c r="D44" s="6">
        <v>0.88429381161491705</v>
      </c>
      <c r="E44" s="6">
        <v>1.99718508371748</v>
      </c>
      <c r="F44" s="6">
        <v>0.63437387576739002</v>
      </c>
      <c r="G44" s="6">
        <v>1.2441752024742601</v>
      </c>
      <c r="H44" s="6">
        <v>0.82048866294367195</v>
      </c>
      <c r="I44" s="6">
        <v>1.5346012840976699</v>
      </c>
      <c r="J44" s="1">
        <f t="shared" si="1"/>
        <v>43862</v>
      </c>
      <c r="K44" s="6">
        <f t="shared" si="14"/>
        <v>0.54465315566926198</v>
      </c>
      <c r="L44" s="6">
        <f t="shared" si="15"/>
        <v>1.22883752021772</v>
      </c>
      <c r="M44" s="6">
        <f t="shared" si="16"/>
        <v>0.88674533794349097</v>
      </c>
      <c r="N44" s="5">
        <f t="shared" si="17"/>
        <v>-3.6427919211070157E-2</v>
      </c>
      <c r="O44" s="6">
        <f t="shared" si="18"/>
        <v>0.88429381161491705</v>
      </c>
      <c r="P44" s="6">
        <f t="shared" si="18"/>
        <v>1.99718508371748</v>
      </c>
      <c r="Q44" s="6">
        <f t="shared" si="19"/>
        <v>1.7741506544775441</v>
      </c>
      <c r="R44" s="14">
        <f t="shared" si="13"/>
        <v>-5.9884709086080651E-2</v>
      </c>
    </row>
    <row r="45" spans="1:20" x14ac:dyDescent="0.25">
      <c r="A45" s="3">
        <v>43891</v>
      </c>
      <c r="B45" s="6">
        <v>0.53265677965468805</v>
      </c>
      <c r="C45" s="6">
        <v>1.2308428755387399</v>
      </c>
      <c r="D45" s="6">
        <v>0.87423846609178901</v>
      </c>
      <c r="E45" s="6">
        <v>2.0139627329226601</v>
      </c>
      <c r="F45" s="6">
        <v>0.63158263416709004</v>
      </c>
      <c r="G45" s="6">
        <v>1.27508447193011</v>
      </c>
      <c r="H45" s="6">
        <v>0.819422887043879</v>
      </c>
      <c r="I45" s="6">
        <v>1.5785540722347999</v>
      </c>
      <c r="J45" s="1">
        <f t="shared" si="1"/>
        <v>43891</v>
      </c>
      <c r="K45" s="6">
        <f t="shared" si="14"/>
        <v>0.53265677965468805</v>
      </c>
      <c r="L45" s="6">
        <f t="shared" si="15"/>
        <v>1.2308428755387399</v>
      </c>
      <c r="M45" s="6">
        <f t="shared" si="16"/>
        <v>0.88174982759671394</v>
      </c>
      <c r="N45" s="5">
        <f t="shared" si="17"/>
        <v>-3.3801206274367999E-3</v>
      </c>
      <c r="O45" s="6">
        <f t="shared" si="18"/>
        <v>0.87423846609178901</v>
      </c>
      <c r="P45" s="6">
        <f t="shared" si="18"/>
        <v>2.0139627329226601</v>
      </c>
      <c r="Q45" s="6">
        <f t="shared" si="19"/>
        <v>1.7905450714580751</v>
      </c>
      <c r="R45" s="14">
        <f t="shared" si="13"/>
        <v>9.2407129795631926E-3</v>
      </c>
    </row>
    <row r="46" spans="1:20" x14ac:dyDescent="0.25">
      <c r="A46" s="3">
        <v>43922</v>
      </c>
      <c r="B46" s="6">
        <v>0.53346784443184003</v>
      </c>
      <c r="C46" s="6">
        <v>1.2662128037405</v>
      </c>
      <c r="D46" s="6">
        <v>0.88629121903663899</v>
      </c>
      <c r="E46" s="6">
        <v>2.0935991006915202</v>
      </c>
      <c r="F46" s="6">
        <v>0.64019922836226895</v>
      </c>
      <c r="G46" s="6">
        <v>1.3181172541052399</v>
      </c>
      <c r="H46" s="6">
        <v>0.81460155067016005</v>
      </c>
      <c r="I46" s="6">
        <v>1.60162484678457</v>
      </c>
      <c r="J46" s="1">
        <f t="shared" si="1"/>
        <v>43922</v>
      </c>
      <c r="K46" s="6">
        <f t="shared" si="14"/>
        <v>0.53346784443184003</v>
      </c>
      <c r="L46" s="6">
        <f t="shared" si="15"/>
        <v>1.2662128037405</v>
      </c>
      <c r="M46" s="6">
        <f t="shared" si="16"/>
        <v>0.8998403240861701</v>
      </c>
      <c r="N46" s="5">
        <f t="shared" si="17"/>
        <v>1.2309951818485798E-2</v>
      </c>
      <c r="O46" s="6">
        <f t="shared" si="18"/>
        <v>0.88629121903663899</v>
      </c>
      <c r="P46" s="6">
        <f t="shared" si="18"/>
        <v>2.0935991006915202</v>
      </c>
      <c r="Q46" s="6">
        <f t="shared" si="19"/>
        <v>1.8684272257973797</v>
      </c>
      <c r="R46" s="14">
        <f t="shared" si="13"/>
        <v>4.3496338394812907E-2</v>
      </c>
    </row>
    <row r="47" spans="1:20" x14ac:dyDescent="0.25">
      <c r="A47" s="3">
        <v>43952</v>
      </c>
      <c r="B47" s="6">
        <v>0.52111360070208901</v>
      </c>
      <c r="C47" s="6">
        <v>1.2746984244439099</v>
      </c>
      <c r="D47" s="6">
        <v>0.87602368301634104</v>
      </c>
      <c r="E47" s="6">
        <v>2.1168954027327902</v>
      </c>
      <c r="F47" s="6">
        <v>0.62920977594158201</v>
      </c>
      <c r="G47" s="6">
        <v>1.3257395748746701</v>
      </c>
      <c r="H47" s="6">
        <v>0.78576460517562696</v>
      </c>
      <c r="I47" s="6">
        <v>1.5788335286622399</v>
      </c>
      <c r="J47" s="1">
        <f t="shared" si="1"/>
        <v>43952</v>
      </c>
      <c r="K47" s="6">
        <f t="shared" si="14"/>
        <v>0.52111360070208901</v>
      </c>
      <c r="L47" s="6">
        <f t="shared" si="15"/>
        <v>1.2746984244439099</v>
      </c>
      <c r="M47" s="6">
        <f t="shared" si="16"/>
        <v>0.8979060125729994</v>
      </c>
      <c r="N47" s="5">
        <f t="shared" si="17"/>
        <v>-1.2897698367552613E-3</v>
      </c>
      <c r="O47" s="6">
        <f t="shared" si="18"/>
        <v>0.87602368301634104</v>
      </c>
      <c r="P47" s="6">
        <f t="shared" si="18"/>
        <v>2.1168954027327902</v>
      </c>
      <c r="Q47" s="6">
        <f t="shared" si="19"/>
        <v>1.891297024259714</v>
      </c>
      <c r="R47" s="14">
        <f t="shared" si="13"/>
        <v>1.2240133384148312E-2</v>
      </c>
    </row>
    <row r="48" spans="1:20" x14ac:dyDescent="0.25">
      <c r="A48" s="3">
        <v>43983</v>
      </c>
      <c r="B48" s="6">
        <v>0.51560146823849395</v>
      </c>
      <c r="C48" s="6">
        <v>1.2907293908358</v>
      </c>
      <c r="D48" s="6">
        <v>0.87737111450362903</v>
      </c>
      <c r="E48" s="6">
        <v>2.17505951309544</v>
      </c>
      <c r="F48" s="6">
        <v>0.62545804572227603</v>
      </c>
      <c r="G48" s="6">
        <v>1.3405439697547501</v>
      </c>
      <c r="H48" s="6">
        <v>0.76620519430655898</v>
      </c>
      <c r="I48" s="6">
        <v>1.5715464158892001</v>
      </c>
      <c r="J48" s="1">
        <f t="shared" si="1"/>
        <v>43983</v>
      </c>
      <c r="K48" s="6">
        <f t="shared" si="14"/>
        <v>0.51560146823849395</v>
      </c>
      <c r="L48" s="6">
        <f t="shared" si="15"/>
        <v>1.2907293908358</v>
      </c>
      <c r="M48" s="6">
        <f t="shared" si="16"/>
        <v>0.90316542953714696</v>
      </c>
      <c r="N48" s="5">
        <f t="shared" si="17"/>
        <v>3.5144548920502672E-3</v>
      </c>
      <c r="O48" s="6">
        <f t="shared" si="18"/>
        <v>0.87737111450362903</v>
      </c>
      <c r="P48" s="6">
        <f t="shared" si="18"/>
        <v>2.17505951309544</v>
      </c>
      <c r="Q48" s="6">
        <f t="shared" si="19"/>
        <v>1.9484591162441081</v>
      </c>
      <c r="R48" s="14">
        <f t="shared" si="13"/>
        <v>3.0223751875657047E-2</v>
      </c>
    </row>
    <row r="49" spans="1:26" x14ac:dyDescent="0.25">
      <c r="A49" s="3">
        <v>44013</v>
      </c>
      <c r="B49" s="6">
        <v>0.51456683015961202</v>
      </c>
      <c r="C49" s="6">
        <v>1.32291365426746</v>
      </c>
      <c r="D49" s="6">
        <v>0.88206115671964203</v>
      </c>
      <c r="E49" s="6">
        <v>2.2383049931646699</v>
      </c>
      <c r="F49" s="6">
        <v>0.63057792083575603</v>
      </c>
      <c r="G49" s="6">
        <v>1.37928192412031</v>
      </c>
      <c r="H49" s="6">
        <v>0.75695232808416002</v>
      </c>
      <c r="I49" s="6">
        <v>1.58812663911743</v>
      </c>
      <c r="J49" s="1">
        <f t="shared" si="1"/>
        <v>44013</v>
      </c>
      <c r="K49" s="6">
        <f t="shared" si="14"/>
        <v>0.51456683015961202</v>
      </c>
      <c r="L49" s="6">
        <f t="shared" si="15"/>
        <v>1.32291365426746</v>
      </c>
      <c r="M49" s="6">
        <f t="shared" si="16"/>
        <v>0.91874024221353601</v>
      </c>
      <c r="N49" s="5">
        <f t="shared" si="17"/>
        <v>1.0346817205594893E-2</v>
      </c>
      <c r="O49" s="6">
        <f t="shared" si="18"/>
        <v>0.88206115671964203</v>
      </c>
      <c r="P49" s="6">
        <f t="shared" si="18"/>
        <v>2.2383049931646699</v>
      </c>
      <c r="Q49" s="6">
        <f t="shared" si="19"/>
        <v>2.010781252537944</v>
      </c>
      <c r="R49" s="14">
        <f t="shared" si="13"/>
        <v>3.19853446111662E-2</v>
      </c>
    </row>
    <row r="50" spans="1:26" x14ac:dyDescent="0.25">
      <c r="A50" s="3">
        <v>44044</v>
      </c>
      <c r="B50" s="6">
        <v>0.49590275661537703</v>
      </c>
      <c r="C50" s="6">
        <v>1.30599041362698</v>
      </c>
      <c r="D50" s="6">
        <v>0.85653953489213797</v>
      </c>
      <c r="E50" s="6">
        <v>2.2207067653095902</v>
      </c>
      <c r="F50" s="6">
        <v>0.61849229602599398</v>
      </c>
      <c r="G50" s="6">
        <v>1.37521279399486</v>
      </c>
      <c r="H50" s="6">
        <v>0.72701696885313305</v>
      </c>
      <c r="I50" s="6">
        <v>1.5552551638143699</v>
      </c>
      <c r="J50" s="1">
        <f t="shared" si="1"/>
        <v>44044</v>
      </c>
      <c r="K50" s="6">
        <f t="shared" si="14"/>
        <v>0.49590275661537703</v>
      </c>
      <c r="L50" s="6">
        <f t="shared" si="15"/>
        <v>1.30599041362698</v>
      </c>
      <c r="M50" s="6">
        <f t="shared" si="16"/>
        <v>0.90094658512117853</v>
      </c>
      <c r="N50" s="5">
        <f t="shared" si="17"/>
        <v>-1.1620470906653857E-2</v>
      </c>
      <c r="O50" s="6">
        <f t="shared" si="18"/>
        <v>0.85653953489213797</v>
      </c>
      <c r="P50" s="6">
        <f t="shared" si="18"/>
        <v>2.2207067653095902</v>
      </c>
      <c r="Q50" s="6">
        <f t="shared" si="19"/>
        <v>1.9933909480742351</v>
      </c>
      <c r="R50" s="14">
        <f t="shared" si="13"/>
        <v>-8.6485312322061147E-3</v>
      </c>
    </row>
    <row r="51" spans="1:26" x14ac:dyDescent="0.25">
      <c r="A51" s="3">
        <v>44075</v>
      </c>
      <c r="B51" s="6">
        <v>0.47781788669999198</v>
      </c>
      <c r="C51" s="6">
        <v>1.2955567011370801</v>
      </c>
      <c r="D51" s="6">
        <v>0.831586202073197</v>
      </c>
      <c r="E51" s="6">
        <v>2.1926722554228699</v>
      </c>
      <c r="F51" s="6">
        <v>0.60721002543097302</v>
      </c>
      <c r="G51" s="6">
        <v>1.3757356839130299</v>
      </c>
      <c r="H51" s="6">
        <v>0.69852265715625494</v>
      </c>
      <c r="I51" s="6">
        <v>1.5243334329292999</v>
      </c>
      <c r="J51" s="1">
        <f t="shared" si="1"/>
        <v>44075</v>
      </c>
      <c r="K51" s="6">
        <f t="shared" si="14"/>
        <v>0.47781788669999198</v>
      </c>
      <c r="L51" s="6">
        <f t="shared" si="15"/>
        <v>1.2955567011370801</v>
      </c>
      <c r="M51" s="6">
        <f t="shared" si="16"/>
        <v>0.88668729391853607</v>
      </c>
      <c r="N51" s="5">
        <f t="shared" si="17"/>
        <v>-9.4962063932289009E-3</v>
      </c>
      <c r="O51" s="6">
        <f t="shared" si="18"/>
        <v>0.831586202073197</v>
      </c>
      <c r="P51" s="6">
        <f t="shared" si="18"/>
        <v>2.1926722554228699</v>
      </c>
      <c r="Q51" s="6">
        <f t="shared" si="19"/>
        <v>1.9657096202076518</v>
      </c>
      <c r="R51" s="14">
        <f t="shared" si="13"/>
        <v>-1.3886552406252995E-2</v>
      </c>
    </row>
    <row r="52" spans="1:26" x14ac:dyDescent="0.25">
      <c r="A52" s="3">
        <v>44105</v>
      </c>
      <c r="B52" s="6">
        <v>0.46712735386990401</v>
      </c>
      <c r="C52" s="6">
        <v>1.30316911451822</v>
      </c>
      <c r="D52" s="6">
        <v>0.82121575748171804</v>
      </c>
      <c r="E52" s="6">
        <v>2.21002013692428</v>
      </c>
      <c r="F52" s="6">
        <v>0.60222747208220595</v>
      </c>
      <c r="G52" s="6">
        <v>1.4023876852810999</v>
      </c>
      <c r="H52" s="6">
        <v>0.68752921015332302</v>
      </c>
      <c r="I52" s="6">
        <v>1.5459702409210501</v>
      </c>
      <c r="J52" s="1">
        <f t="shared" si="1"/>
        <v>44105</v>
      </c>
      <c r="K52" s="6">
        <f t="shared" si="14"/>
        <v>0.46712735386990401</v>
      </c>
      <c r="L52" s="6">
        <f t="shared" si="15"/>
        <v>1.30316911451822</v>
      </c>
      <c r="M52" s="6">
        <f t="shared" si="16"/>
        <v>0.88514823419406197</v>
      </c>
      <c r="N52" s="5">
        <f t="shared" si="17"/>
        <v>-1.0414447585050501E-3</v>
      </c>
      <c r="O52" s="6">
        <f t="shared" si="18"/>
        <v>0.82121575748171804</v>
      </c>
      <c r="P52" s="6">
        <f t="shared" si="18"/>
        <v>2.21002013692428</v>
      </c>
      <c r="Q52" s="6">
        <f t="shared" si="19"/>
        <v>1.9828170502946278</v>
      </c>
      <c r="R52" s="14">
        <f t="shared" si="13"/>
        <v>8.7029284036208576E-3</v>
      </c>
    </row>
    <row r="53" spans="1:26" x14ac:dyDescent="0.25">
      <c r="A53" s="3">
        <v>44136</v>
      </c>
      <c r="B53" s="6">
        <v>0.43066146843222902</v>
      </c>
      <c r="C53" s="6">
        <v>1.24531450799038</v>
      </c>
      <c r="D53" s="6">
        <v>0.765034460329303</v>
      </c>
      <c r="E53" s="6">
        <v>2.0889813182680101</v>
      </c>
      <c r="F53" s="6">
        <v>0.56347123208533201</v>
      </c>
      <c r="G53" s="6">
        <v>1.35076304770544</v>
      </c>
      <c r="H53" s="6">
        <v>0.63731758741478595</v>
      </c>
      <c r="I53" s="6">
        <v>1.47572612864515</v>
      </c>
      <c r="J53" s="1">
        <f t="shared" si="1"/>
        <v>44136</v>
      </c>
      <c r="K53" s="6">
        <f t="shared" si="14"/>
        <v>0.43066146843222902</v>
      </c>
      <c r="L53" s="6">
        <f t="shared" si="15"/>
        <v>1.24531450799038</v>
      </c>
      <c r="M53" s="6">
        <f t="shared" si="16"/>
        <v>0.83798798821130449</v>
      </c>
      <c r="N53" s="5">
        <f t="shared" si="17"/>
        <v>-3.1967693654632257E-2</v>
      </c>
      <c r="O53" s="6">
        <f t="shared" si="18"/>
        <v>0.765034460329303</v>
      </c>
      <c r="P53" s="6">
        <f t="shared" si="18"/>
        <v>2.0889813182680101</v>
      </c>
      <c r="Q53" s="6">
        <f t="shared" si="19"/>
        <v>1.8633622035688879</v>
      </c>
      <c r="R53" s="14">
        <f t="shared" si="13"/>
        <v>-6.024501691065752E-2</v>
      </c>
    </row>
    <row r="54" spans="1:26" x14ac:dyDescent="0.25">
      <c r="A54" s="3">
        <v>44166</v>
      </c>
      <c r="B54" s="6">
        <v>0.41024531294397498</v>
      </c>
      <c r="C54" s="6">
        <v>1.2244076388499301</v>
      </c>
      <c r="D54" s="6">
        <v>0.73614897578707905</v>
      </c>
      <c r="E54" s="6">
        <v>2.0548697371545401</v>
      </c>
      <c r="F54" s="6">
        <v>0.54473861428647596</v>
      </c>
      <c r="G54" s="6">
        <v>1.34716230265659</v>
      </c>
      <c r="H54" s="6">
        <v>0.611535030181932</v>
      </c>
      <c r="I54" s="6">
        <v>1.465240908533</v>
      </c>
      <c r="J54" s="1">
        <f t="shared" si="1"/>
        <v>44166</v>
      </c>
      <c r="K54" s="6">
        <f t="shared" si="14"/>
        <v>0.41024531294397498</v>
      </c>
      <c r="L54" s="6">
        <f t="shared" si="15"/>
        <v>1.2244076388499301</v>
      </c>
      <c r="M54" s="6">
        <f t="shared" si="16"/>
        <v>0.81732647589695251</v>
      </c>
      <c r="N54" s="5">
        <f t="shared" si="17"/>
        <v>-1.4793657621599697E-2</v>
      </c>
      <c r="O54" s="6">
        <f t="shared" si="18"/>
        <v>0.73614897578707905</v>
      </c>
      <c r="P54" s="6">
        <f t="shared" si="18"/>
        <v>2.0548697371545401</v>
      </c>
      <c r="Q54" s="6">
        <f t="shared" si="19"/>
        <v>1.8298920842171909</v>
      </c>
      <c r="R54" s="14">
        <f t="shared" si="13"/>
        <v>-1.7962218664515053E-2</v>
      </c>
    </row>
    <row r="55" spans="1:26" x14ac:dyDescent="0.25">
      <c r="J55" s="1"/>
    </row>
    <row r="56" spans="1:26" x14ac:dyDescent="0.25">
      <c r="B56" t="s">
        <v>53</v>
      </c>
      <c r="C56" t="s">
        <v>54</v>
      </c>
      <c r="D56" t="s">
        <v>55</v>
      </c>
      <c r="K56" s="8">
        <v>42795</v>
      </c>
      <c r="L56" s="8">
        <v>42887</v>
      </c>
      <c r="M56" s="8">
        <v>42979</v>
      </c>
      <c r="N56" s="8">
        <v>43070</v>
      </c>
      <c r="O56" s="8">
        <v>43160</v>
      </c>
      <c r="P56" s="8">
        <v>43252</v>
      </c>
      <c r="Q56" s="8">
        <v>43344</v>
      </c>
      <c r="R56" s="8">
        <v>43435</v>
      </c>
      <c r="S56" s="8">
        <v>43525</v>
      </c>
      <c r="T56" s="8">
        <v>43617</v>
      </c>
      <c r="U56" s="8">
        <v>43709</v>
      </c>
      <c r="V56" s="8">
        <v>43800</v>
      </c>
      <c r="W56" s="8">
        <v>43891</v>
      </c>
      <c r="X56" s="8">
        <v>43983</v>
      </c>
      <c r="Y56" s="8">
        <v>44075</v>
      </c>
      <c r="Z56" s="8">
        <v>44166</v>
      </c>
    </row>
    <row r="57" spans="1:26" x14ac:dyDescent="0.25">
      <c r="A57" s="13">
        <v>1</v>
      </c>
      <c r="B57" s="6">
        <v>2.3636820118352002</v>
      </c>
      <c r="C57" s="6">
        <v>2.36646858743419</v>
      </c>
      <c r="D57" s="6">
        <v>2.21491838176394</v>
      </c>
      <c r="J57" s="9" t="s">
        <v>48</v>
      </c>
      <c r="K57" s="7">
        <f>VLOOKUP(K$56,$J$7:$R$54,5,0)</f>
        <v>-1.263097763210308E-2</v>
      </c>
      <c r="L57" s="7">
        <f t="shared" ref="L57:Z57" si="20">VLOOKUP(L$56,$J$7:$R$54,5,0)</f>
        <v>-1.9412547338518715E-3</v>
      </c>
      <c r="M57" s="7">
        <f t="shared" si="20"/>
        <v>-1.8050265042626523E-2</v>
      </c>
      <c r="N57" s="7">
        <f t="shared" si="20"/>
        <v>-2.7314014919667982E-2</v>
      </c>
      <c r="O57" s="7">
        <f t="shared" si="20"/>
        <v>-1.4143379858432503E-2</v>
      </c>
      <c r="P57" s="7">
        <f t="shared" si="20"/>
        <v>1.8964204198244648E-2</v>
      </c>
      <c r="Q57" s="7">
        <f t="shared" si="20"/>
        <v>-3.4913377597460605E-3</v>
      </c>
      <c r="R57" s="7">
        <f t="shared" si="20"/>
        <v>-1.1184018563238073E-2</v>
      </c>
      <c r="S57" s="7">
        <f t="shared" si="20"/>
        <v>-8.6678668508701764E-4</v>
      </c>
      <c r="T57" s="7">
        <f t="shared" si="20"/>
        <v>8.9124518525855127E-3</v>
      </c>
      <c r="U57" s="7">
        <f t="shared" si="20"/>
        <v>-7.6762849514525611E-3</v>
      </c>
      <c r="V57" s="7">
        <f t="shared" si="20"/>
        <v>-1.4007332288562302E-2</v>
      </c>
      <c r="W57" s="7">
        <f t="shared" si="20"/>
        <v>-3.3801206274367999E-3</v>
      </c>
      <c r="X57" s="7">
        <f t="shared" si="20"/>
        <v>3.5144548920502672E-3</v>
      </c>
      <c r="Y57" s="7">
        <f t="shared" si="20"/>
        <v>-9.4962063932289009E-3</v>
      </c>
      <c r="Z57" s="7">
        <f t="shared" si="20"/>
        <v>-1.4793657621599697E-2</v>
      </c>
    </row>
    <row r="58" spans="1:26" x14ac:dyDescent="0.25">
      <c r="A58" s="13">
        <v>2</v>
      </c>
      <c r="B58" s="6">
        <v>2.32964942821918</v>
      </c>
      <c r="C58" s="6">
        <v>2.3345448125586499</v>
      </c>
      <c r="D58" s="6">
        <v>2.2373235943327301</v>
      </c>
      <c r="J58" s="9" t="s">
        <v>49</v>
      </c>
      <c r="K58" s="7">
        <f>VLOOKUP(K$56,$J$7:$R$54,9,0)</f>
        <v>-1.263097763210308E-2</v>
      </c>
      <c r="L58" s="7">
        <f t="shared" ref="L58:Z58" si="21">VLOOKUP(L$56,$J$7:$R$54,9,0)</f>
        <v>-1.9412547338518715E-3</v>
      </c>
      <c r="M58" s="7">
        <f t="shared" si="21"/>
        <v>-3.3092152578148626E-2</v>
      </c>
      <c r="N58" s="7">
        <f t="shared" si="21"/>
        <v>-5.0075694019391305E-2</v>
      </c>
      <c r="O58" s="7">
        <f t="shared" si="21"/>
        <v>-2.5929529740459593E-2</v>
      </c>
      <c r="P58" s="7">
        <f t="shared" si="21"/>
        <v>6.2381304610830357E-2</v>
      </c>
      <c r="Q58" s="7">
        <f t="shared" si="21"/>
        <v>1.7922299625308381E-2</v>
      </c>
      <c r="R58" s="7">
        <f t="shared" si="21"/>
        <v>-2.1748643048357555E-3</v>
      </c>
      <c r="S58" s="7">
        <f t="shared" si="21"/>
        <v>4.3638241602382305E-2</v>
      </c>
      <c r="T58" s="7">
        <f t="shared" si="21"/>
        <v>6.8494766699986873E-2</v>
      </c>
      <c r="U58" s="7">
        <f t="shared" si="21"/>
        <v>1.5502255844578629E-2</v>
      </c>
      <c r="V58" s="7">
        <f t="shared" si="21"/>
        <v>1.3836755728613781E-2</v>
      </c>
      <c r="W58" s="7">
        <f t="shared" si="21"/>
        <v>9.2407129795631926E-3</v>
      </c>
      <c r="X58" s="7">
        <f t="shared" si="21"/>
        <v>3.0223751875657047E-2</v>
      </c>
      <c r="Y58" s="7">
        <f t="shared" si="21"/>
        <v>-1.3886552406252995E-2</v>
      </c>
      <c r="Z58" s="7">
        <f t="shared" si="21"/>
        <v>-1.7962218664515053E-2</v>
      </c>
    </row>
    <row r="59" spans="1:26" x14ac:dyDescent="0.25">
      <c r="A59" s="13">
        <v>3</v>
      </c>
      <c r="B59" s="6">
        <v>2.2605574433312299</v>
      </c>
      <c r="C59" s="6">
        <v>2.26529453717834</v>
      </c>
      <c r="D59" s="6">
        <v>2.2199882090379699</v>
      </c>
      <c r="J59" s="1"/>
    </row>
    <row r="60" spans="1:26" x14ac:dyDescent="0.25">
      <c r="A60" s="13">
        <v>4</v>
      </c>
      <c r="B60" s="6">
        <v>2.2935807239396699</v>
      </c>
      <c r="C60" s="6">
        <v>2.2245103712267098</v>
      </c>
      <c r="D60" s="6">
        <v>2.2071976343905502</v>
      </c>
      <c r="J60" s="1"/>
    </row>
    <row r="61" spans="1:26" x14ac:dyDescent="0.25">
      <c r="A61" s="13">
        <v>5</v>
      </c>
      <c r="B61" s="6">
        <v>2.2978624666902001</v>
      </c>
      <c r="C61" s="6">
        <v>2.1856972652500901</v>
      </c>
      <c r="D61" s="6">
        <v>2.18918458626074</v>
      </c>
      <c r="J61" s="1"/>
    </row>
    <row r="62" spans="1:26" x14ac:dyDescent="0.25">
      <c r="A62" s="13">
        <v>6</v>
      </c>
      <c r="B62" s="6">
        <v>2.2173956495434899</v>
      </c>
      <c r="C62" s="6">
        <v>2.1939301537956002</v>
      </c>
      <c r="D62" s="6">
        <v>2.15813376183976</v>
      </c>
      <c r="J62" s="1"/>
    </row>
    <row r="63" spans="1:26" x14ac:dyDescent="0.25">
      <c r="A63" s="13">
        <v>7</v>
      </c>
      <c r="B63" s="6">
        <v>2.2659190862766598</v>
      </c>
      <c r="C63" s="6">
        <v>2.2384206753617701</v>
      </c>
      <c r="D63" s="6">
        <v>2.1967937986267501</v>
      </c>
      <c r="J63" s="1"/>
    </row>
    <row r="64" spans="1:26" x14ac:dyDescent="0.25">
      <c r="A64" s="13">
        <v>8</v>
      </c>
      <c r="B64" s="6">
        <v>2.2712974966165098</v>
      </c>
      <c r="C64" s="6">
        <v>2.29642027385152</v>
      </c>
      <c r="D64" s="6">
        <v>2.2373734849662901</v>
      </c>
      <c r="J64" s="1"/>
    </row>
    <row r="65" spans="1:10" x14ac:dyDescent="0.25">
      <c r="A65" s="13">
        <v>9</v>
      </c>
      <c r="B65" s="6">
        <v>2.2705119587154599</v>
      </c>
      <c r="C65" s="6">
        <v>2.3606939103075</v>
      </c>
      <c r="D65" s="6">
        <v>2.3008184874927502</v>
      </c>
      <c r="J65" s="1"/>
    </row>
    <row r="66" spans="1:10" x14ac:dyDescent="0.25">
      <c r="A66" s="13">
        <v>10</v>
      </c>
      <c r="B66" s="6">
        <v>2.2652568226481602</v>
      </c>
      <c r="C66" s="6">
        <v>2.3270195989992302</v>
      </c>
      <c r="D66" s="6">
        <v>2.3086234935036698</v>
      </c>
      <c r="J66" s="1"/>
    </row>
    <row r="67" spans="1:10" x14ac:dyDescent="0.25">
      <c r="A67" s="13">
        <v>11</v>
      </c>
      <c r="B67" s="6">
        <v>2.2160083314486498</v>
      </c>
      <c r="C67" s="6">
        <v>2.2791740796074502</v>
      </c>
      <c r="D67" s="6">
        <v>2.2936222358585598</v>
      </c>
      <c r="J67" s="1"/>
    </row>
    <row r="68" spans="1:10" x14ac:dyDescent="0.25">
      <c r="A68" s="13">
        <v>12</v>
      </c>
      <c r="B68" s="6">
        <v>2.21888594762419</v>
      </c>
      <c r="C68" s="6">
        <v>2.2305139284076798</v>
      </c>
      <c r="D68" s="6">
        <v>2.2190032623146698</v>
      </c>
      <c r="J68" s="1"/>
    </row>
    <row r="69" spans="1:10" x14ac:dyDescent="0.25">
      <c r="A69" s="13">
        <v>13</v>
      </c>
      <c r="B69" s="6">
        <v>2.3546054810811099</v>
      </c>
      <c r="C69" s="6">
        <v>2.2704762917324102</v>
      </c>
      <c r="D69" s="6">
        <v>2.24415020549859</v>
      </c>
      <c r="J69" s="1"/>
    </row>
    <row r="70" spans="1:10" x14ac:dyDescent="0.25">
      <c r="A70" s="13">
        <v>14</v>
      </c>
      <c r="B70" s="6">
        <v>2.35867661111959</v>
      </c>
      <c r="C70" s="6">
        <v>2.24550026593815</v>
      </c>
      <c r="D70" s="6">
        <v>2.2280501551815899</v>
      </c>
      <c r="J70" s="1"/>
    </row>
    <row r="71" spans="1:10" x14ac:dyDescent="0.25">
      <c r="A71" s="13">
        <v>15</v>
      </c>
      <c r="B71" s="6">
        <v>2.2849843273068502</v>
      </c>
      <c r="C71" s="6">
        <v>2.1189527872362302</v>
      </c>
      <c r="D71" s="6">
        <v>2.1439995624609902</v>
      </c>
      <c r="J71" s="1"/>
    </row>
    <row r="72" spans="1:10" x14ac:dyDescent="0.25">
      <c r="A72" s="13">
        <v>16</v>
      </c>
      <c r="B72" s="6">
        <v>2.30345429415638</v>
      </c>
      <c r="C72" s="6">
        <v>2.0938625616169202</v>
      </c>
      <c r="D72" s="6">
        <v>2.1307949538056801</v>
      </c>
      <c r="J72" s="1"/>
    </row>
    <row r="73" spans="1:10" x14ac:dyDescent="0.25">
      <c r="A73" s="13">
        <v>17</v>
      </c>
      <c r="B73" s="6">
        <v>2.27840932324523</v>
      </c>
      <c r="C73" s="6">
        <v>2.06032751959772</v>
      </c>
      <c r="D73" s="6">
        <v>2.1125881133342901</v>
      </c>
      <c r="J73" s="1"/>
    </row>
    <row r="74" spans="1:10" x14ac:dyDescent="0.25">
      <c r="A74" s="13">
        <v>18</v>
      </c>
      <c r="B74" s="6">
        <v>2.2000677782010198</v>
      </c>
      <c r="C74" s="6">
        <v>2.0481073494642699</v>
      </c>
      <c r="D74" s="6">
        <v>2.08179145745616</v>
      </c>
      <c r="J74" s="1"/>
    </row>
    <row r="75" spans="1:10" x14ac:dyDescent="0.25">
      <c r="A75" s="13">
        <v>19</v>
      </c>
      <c r="B75" s="6">
        <v>2.2478979164541002</v>
      </c>
      <c r="C75" s="6">
        <v>2.09546368992839</v>
      </c>
      <c r="D75" s="6">
        <v>2.1178547727560302</v>
      </c>
      <c r="J75" s="1"/>
    </row>
    <row r="76" spans="1:10" x14ac:dyDescent="0.25">
      <c r="A76" s="13">
        <v>20</v>
      </c>
      <c r="B76" s="6">
        <v>2.25291873864695</v>
      </c>
      <c r="C76" s="6">
        <v>2.15443401345635</v>
      </c>
      <c r="D76" s="6">
        <v>2.1556834553097</v>
      </c>
      <c r="J76" s="1"/>
    </row>
    <row r="77" spans="1:10" x14ac:dyDescent="0.25">
      <c r="A77" s="13">
        <v>21</v>
      </c>
      <c r="B77" s="6">
        <v>2.2518248970177899</v>
      </c>
      <c r="C77" s="6">
        <v>2.2163882433636499</v>
      </c>
      <c r="D77" s="6">
        <v>2.2154832935336399</v>
      </c>
      <c r="J77" s="1"/>
    </row>
    <row r="78" spans="1:10" x14ac:dyDescent="0.25">
      <c r="A78" s="13">
        <v>22</v>
      </c>
      <c r="B78" s="6">
        <v>2.2469269442661401</v>
      </c>
      <c r="C78" s="6">
        <v>2.1740528765475502</v>
      </c>
      <c r="D78" s="6">
        <v>2.2206529024380202</v>
      </c>
    </row>
    <row r="79" spans="1:10" x14ac:dyDescent="0.25">
      <c r="A79" s="13">
        <v>23</v>
      </c>
      <c r="B79" s="6">
        <v>2.1983841088049099</v>
      </c>
      <c r="C79" s="6">
        <v>2.1199672582445799</v>
      </c>
      <c r="D79" s="6">
        <v>2.2038174924819698</v>
      </c>
    </row>
    <row r="80" spans="1:10" x14ac:dyDescent="0.25">
      <c r="A80" s="13">
        <v>24</v>
      </c>
      <c r="B80" s="6">
        <v>2.2015464303251702</v>
      </c>
      <c r="C80" s="6">
        <v>2.0533740632278801</v>
      </c>
      <c r="D80" s="6">
        <v>2.12987014554278</v>
      </c>
    </row>
    <row r="81" spans="1:4" x14ac:dyDescent="0.25">
      <c r="A81" s="13">
        <v>25</v>
      </c>
      <c r="B81" s="6">
        <v>2.3368583291479501</v>
      </c>
      <c r="C81" s="6">
        <v>2.1042662543194499</v>
      </c>
      <c r="D81" s="6">
        <v>2.1526872590262398</v>
      </c>
    </row>
    <row r="82" spans="1:4" x14ac:dyDescent="0.25">
      <c r="A82" s="13">
        <v>26</v>
      </c>
      <c r="B82" s="6">
        <v>2.3415530337224002</v>
      </c>
      <c r="C82" s="6">
        <v>2.0690438276652001</v>
      </c>
      <c r="D82" s="6">
        <v>2.13593393066677</v>
      </c>
    </row>
    <row r="83" spans="1:4" x14ac:dyDescent="0.25">
      <c r="A83" s="13">
        <v>27</v>
      </c>
      <c r="B83" s="6">
        <v>2.2690297384493299</v>
      </c>
      <c r="C83" s="6">
        <v>1.96182675031497</v>
      </c>
      <c r="D83" s="6">
        <v>2.0542208629220098</v>
      </c>
    </row>
    <row r="84" spans="1:4" x14ac:dyDescent="0.25">
      <c r="A84" s="13">
        <v>28</v>
      </c>
      <c r="B84" s="6">
        <v>2.28689138436981</v>
      </c>
      <c r="C84" s="6">
        <v>1.94046018444505</v>
      </c>
      <c r="D84" s="6">
        <v>2.0399378159291301</v>
      </c>
    </row>
    <row r="85" spans="1:4" x14ac:dyDescent="0.25">
      <c r="A85" s="13">
        <v>29</v>
      </c>
      <c r="B85" s="6">
        <v>2.26155245285655</v>
      </c>
      <c r="C85" s="6">
        <v>1.9111578664867599</v>
      </c>
      <c r="D85" s="6">
        <v>2.0209432873945201</v>
      </c>
    </row>
    <row r="86" spans="1:4" x14ac:dyDescent="0.25">
      <c r="A86" s="13">
        <v>30</v>
      </c>
      <c r="B86" s="6">
        <v>2.1833328698107599</v>
      </c>
      <c r="C86" s="6">
        <v>1.9016483347694499</v>
      </c>
      <c r="D86" s="6">
        <v>1.98989125110582</v>
      </c>
    </row>
    <row r="87" spans="1:4" x14ac:dyDescent="0.25">
      <c r="A87" s="13">
        <v>31</v>
      </c>
      <c r="B87" s="6">
        <v>2.2307212624244799</v>
      </c>
      <c r="C87" s="6">
        <v>1.94833320985763</v>
      </c>
      <c r="D87" s="6">
        <v>2.02326660853804</v>
      </c>
    </row>
    <row r="88" spans="1:4" x14ac:dyDescent="0.25">
      <c r="A88" s="13">
        <v>32</v>
      </c>
      <c r="B88" s="6">
        <v>2.2356256243863899</v>
      </c>
      <c r="C88" s="6">
        <v>2.0060515044761602</v>
      </c>
      <c r="D88" s="6">
        <v>2.0582537004211701</v>
      </c>
    </row>
    <row r="89" spans="1:4" x14ac:dyDescent="0.25">
      <c r="A89" s="13">
        <v>33</v>
      </c>
      <c r="B89" s="6">
        <v>2.2344621245943301</v>
      </c>
      <c r="C89" s="6">
        <v>2.0667146059789401</v>
      </c>
      <c r="D89" s="6">
        <v>2.1141674105869499</v>
      </c>
    </row>
    <row r="90" spans="1:4" x14ac:dyDescent="0.25">
      <c r="A90" s="13">
        <v>34</v>
      </c>
      <c r="B90" s="6">
        <v>2.2298355996519099</v>
      </c>
      <c r="C90" s="6">
        <v>2.03238900198938</v>
      </c>
      <c r="D90" s="6">
        <v>2.1173610810069698</v>
      </c>
    </row>
    <row r="91" spans="1:4" x14ac:dyDescent="0.25">
      <c r="A91" s="13">
        <v>35</v>
      </c>
      <c r="B91" s="6">
        <v>2.1818906451968201</v>
      </c>
      <c r="C91" s="6">
        <v>1.9870311936294101</v>
      </c>
      <c r="D91" s="6">
        <v>2.09952636013645</v>
      </c>
    </row>
    <row r="92" spans="1:4" x14ac:dyDescent="0.25">
      <c r="A92" s="13">
        <v>36</v>
      </c>
      <c r="B92" s="6">
        <v>2.1852582320404998</v>
      </c>
      <c r="C92" s="6">
        <v>1.9295039235125899</v>
      </c>
      <c r="D92" s="6">
        <v>2.0274127888239399</v>
      </c>
    </row>
    <row r="93" spans="1:4" x14ac:dyDescent="0.25">
      <c r="C93" s="6">
        <v>1.9802406879619601</v>
      </c>
    </row>
    <row r="94" spans="1:4" x14ac:dyDescent="0.25">
      <c r="C94" s="6">
        <v>1.9499643636589099</v>
      </c>
    </row>
    <row r="95" spans="1:4" x14ac:dyDescent="0.25">
      <c r="C95" s="6">
        <v>1.8513793931985301</v>
      </c>
    </row>
    <row r="96" spans="1:4" x14ac:dyDescent="0.25">
      <c r="C96" s="6">
        <v>1.8347373181489599</v>
      </c>
    </row>
    <row r="97" spans="3:3" x14ac:dyDescent="0.25">
      <c r="C97" s="6">
        <v>1.81039436915302</v>
      </c>
    </row>
    <row r="98" spans="3:3" x14ac:dyDescent="0.25">
      <c r="C98" s="6">
        <v>1.8048504423957401</v>
      </c>
    </row>
    <row r="99" spans="3:3" x14ac:dyDescent="0.25">
      <c r="C99" s="6">
        <v>1.8515671821219</v>
      </c>
    </row>
    <row r="100" spans="3:3" x14ac:dyDescent="0.25">
      <c r="C100" s="6">
        <v>1.9089844463876999</v>
      </c>
    </row>
    <row r="101" spans="3:3" x14ac:dyDescent="0.25">
      <c r="C101" s="6">
        <v>1.9693589860780401</v>
      </c>
    </row>
    <row r="102" spans="3:3" x14ac:dyDescent="0.25">
      <c r="C102" s="6">
        <v>1.9404764489344399</v>
      </c>
    </row>
    <row r="103" spans="3:3" x14ac:dyDescent="0.25">
      <c r="C103" s="6">
        <v>1.9010430719364599</v>
      </c>
    </row>
    <row r="104" spans="3:3" x14ac:dyDescent="0.25">
      <c r="C104" s="6">
        <v>1.84965230317736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Z174"/>
  <sheetViews>
    <sheetView topLeftCell="B1" zoomScale="80" zoomScaleNormal="80" workbookViewId="0">
      <selection activeCell="J2" sqref="J2"/>
    </sheetView>
  </sheetViews>
  <sheetFormatPr baseColWidth="10" defaultColWidth="12.140625" defaultRowHeight="15" x14ac:dyDescent="0.25"/>
  <sheetData>
    <row r="1" spans="1:20" x14ac:dyDescent="0.25">
      <c r="A1" s="2" t="s">
        <v>1</v>
      </c>
      <c r="B1" t="s">
        <v>9</v>
      </c>
    </row>
    <row r="3" spans="1:20" x14ac:dyDescent="0.25">
      <c r="B3" s="2" t="s">
        <v>39</v>
      </c>
      <c r="J3" t="s">
        <v>46</v>
      </c>
      <c r="K3">
        <v>0</v>
      </c>
      <c r="L3">
        <v>0</v>
      </c>
      <c r="M3">
        <v>1</v>
      </c>
      <c r="N3" s="18">
        <v>-0.4</v>
      </c>
      <c r="O3">
        <v>0</v>
      </c>
      <c r="P3">
        <v>0</v>
      </c>
      <c r="Q3">
        <v>1</v>
      </c>
    </row>
    <row r="4" spans="1:20" x14ac:dyDescent="0.25">
      <c r="B4" t="s">
        <v>4</v>
      </c>
      <c r="D4" t="s">
        <v>6</v>
      </c>
      <c r="F4" t="s">
        <v>59</v>
      </c>
      <c r="H4" t="s">
        <v>60</v>
      </c>
      <c r="J4" t="s">
        <v>45</v>
      </c>
      <c r="K4" s="4"/>
      <c r="L4" s="4"/>
      <c r="M4" s="4"/>
      <c r="N4" s="19">
        <v>1.2</v>
      </c>
      <c r="O4" s="4"/>
      <c r="P4" s="4"/>
      <c r="Q4" s="4"/>
      <c r="R4" s="4">
        <v>-0.2</v>
      </c>
    </row>
    <row r="5" spans="1:20" x14ac:dyDescent="0.25">
      <c r="A5" s="2" t="s">
        <v>10</v>
      </c>
      <c r="B5" t="s">
        <v>37</v>
      </c>
      <c r="C5" t="s">
        <v>38</v>
      </c>
      <c r="D5" t="s">
        <v>37</v>
      </c>
      <c r="E5" t="s">
        <v>38</v>
      </c>
      <c r="F5" t="s">
        <v>37</v>
      </c>
      <c r="G5" t="s">
        <v>38</v>
      </c>
      <c r="H5" t="s">
        <v>37</v>
      </c>
      <c r="I5" t="s">
        <v>38</v>
      </c>
      <c r="K5" s="10" t="s">
        <v>40</v>
      </c>
      <c r="L5" s="10" t="s">
        <v>41</v>
      </c>
      <c r="M5" s="10" t="s">
        <v>44</v>
      </c>
      <c r="N5" s="10" t="s">
        <v>47</v>
      </c>
      <c r="O5" s="10" t="s">
        <v>42</v>
      </c>
      <c r="P5" s="10" t="s">
        <v>43</v>
      </c>
      <c r="Q5" s="10" t="s">
        <v>50</v>
      </c>
      <c r="R5" s="10" t="s">
        <v>47</v>
      </c>
      <c r="S5" s="10" t="s">
        <v>58</v>
      </c>
      <c r="T5" s="10" t="s">
        <v>58</v>
      </c>
    </row>
    <row r="6" spans="1:20" x14ac:dyDescent="0.25">
      <c r="A6" s="11">
        <v>42705</v>
      </c>
      <c r="B6" s="12">
        <v>8.2532054208535008</v>
      </c>
      <c r="C6" s="6">
        <v>8.4552352770846593</v>
      </c>
      <c r="D6" s="6">
        <v>8.2532054208535008</v>
      </c>
      <c r="E6" s="6">
        <v>8.4552352770846593</v>
      </c>
      <c r="F6" s="6">
        <v>8.2539040388072795</v>
      </c>
      <c r="G6" s="6">
        <v>8.2539040388072795</v>
      </c>
      <c r="H6" s="6">
        <v>8.2539040388072795</v>
      </c>
      <c r="I6" s="6">
        <v>8.4442699149208096</v>
      </c>
      <c r="J6" s="1">
        <f>A6</f>
        <v>42705</v>
      </c>
      <c r="K6" s="6">
        <f>B6</f>
        <v>8.2532054208535008</v>
      </c>
      <c r="L6" s="6">
        <f>C6</f>
        <v>8.4552352770846593</v>
      </c>
      <c r="M6" s="6">
        <f>AVERAGE(B6:C6)</f>
        <v>8.3542203489690792</v>
      </c>
      <c r="N6" s="6"/>
      <c r="O6" s="6">
        <f>D6</f>
        <v>8.2532054208535008</v>
      </c>
      <c r="P6" s="6">
        <f>E6</f>
        <v>8.4552352770846593</v>
      </c>
      <c r="Q6" s="6">
        <f t="shared" ref="Q6:Q20" si="0">K6</f>
        <v>8.2532054208535008</v>
      </c>
      <c r="R6" s="6"/>
      <c r="S6" s="6"/>
      <c r="T6" s="6"/>
    </row>
    <row r="7" spans="1:20" x14ac:dyDescent="0.25">
      <c r="A7" s="11">
        <v>42736</v>
      </c>
      <c r="B7" s="12">
        <v>8.2161169497650803</v>
      </c>
      <c r="C7" s="6">
        <v>8.4230319908322802</v>
      </c>
      <c r="D7" s="6">
        <v>8.2161169497650803</v>
      </c>
      <c r="E7" s="6">
        <v>8.4230319908322802</v>
      </c>
      <c r="F7" s="6">
        <v>8.2345542666259899</v>
      </c>
      <c r="G7" s="6">
        <v>8.2345542666259899</v>
      </c>
      <c r="H7" s="6">
        <v>8.2345542666259899</v>
      </c>
      <c r="I7" s="6">
        <v>8.4283660113176904</v>
      </c>
      <c r="J7" s="1">
        <f t="shared" ref="J7:J54" si="1">A7</f>
        <v>42736</v>
      </c>
      <c r="K7" s="6">
        <f>IF(K$3=1,K6*(1+$N7),B7)</f>
        <v>8.2161169497650803</v>
      </c>
      <c r="L7" s="6">
        <f>IF(L$3=1,L6*(1+$N7),C7)</f>
        <v>8.4230319908322802</v>
      </c>
      <c r="M7" s="6">
        <f t="shared" ref="M7:M42" si="2">IF(M$3=1,M6*(1+$N7),AVERAGE(B7:C7))</f>
        <v>8.3195744702986794</v>
      </c>
      <c r="N7" s="5">
        <f t="shared" ref="N7:N12" si="3">IF(K$3=1,(B7/B6)-1,IF(L$3=1,(C7/C6)-1,(AVERAGE(B7:C7)/AVERAGE(B6:C6)-1)))</f>
        <v>-4.1471109479025436E-3</v>
      </c>
      <c r="O7" s="6">
        <f t="shared" ref="O7:O42" si="4">IF(O$3=1,O6*(1+$R7),D7)</f>
        <v>8.2161169497650803</v>
      </c>
      <c r="P7" s="6">
        <f t="shared" ref="P7:P42" si="5">IF(P$3=1,P6*(1+$R7),E7)</f>
        <v>8.4230319908322802</v>
      </c>
      <c r="Q7" s="6">
        <f t="shared" si="0"/>
        <v>8.2161169497650803</v>
      </c>
      <c r="R7" s="5">
        <f t="shared" ref="R7:R12" si="6">IF(O$3=1,(D7/D6)-1,IF(P$3=1,(E7/E6)-1,(AVERAGE(D7:E7)/AVERAGE(D6:E6)-1)))</f>
        <v>-4.1471109479025436E-3</v>
      </c>
      <c r="S7" s="6">
        <f t="shared" ref="S7:S54" si="7">AVERAGE(M6:M7)</f>
        <v>8.3368974096338793</v>
      </c>
      <c r="T7" s="6">
        <v>8.3368974096338793</v>
      </c>
    </row>
    <row r="8" spans="1:20" x14ac:dyDescent="0.25">
      <c r="A8" s="11">
        <v>42767</v>
      </c>
      <c r="B8" s="12">
        <v>8.3687067976482297</v>
      </c>
      <c r="C8" s="6">
        <v>8.5787134638812397</v>
      </c>
      <c r="D8" s="6">
        <v>8.3687067976482297</v>
      </c>
      <c r="E8" s="6">
        <v>8.5787134638812397</v>
      </c>
      <c r="F8" s="6">
        <v>8.3813057034484402</v>
      </c>
      <c r="G8" s="6">
        <v>8.3813057034484402</v>
      </c>
      <c r="H8" s="6">
        <v>8.3813057034484402</v>
      </c>
      <c r="I8" s="6">
        <v>8.5778991432012397</v>
      </c>
      <c r="J8" s="1">
        <f t="shared" si="1"/>
        <v>42767</v>
      </c>
      <c r="K8" s="6">
        <f t="shared" ref="K8:K42" si="8">IF(K$3=1,K7*(1+N8),B8)</f>
        <v>8.3687067976482297</v>
      </c>
      <c r="L8" s="6">
        <f t="shared" ref="L8:L42" si="9">IF(L$3=1,L7*(1+$N8),C8)</f>
        <v>8.5787134638812397</v>
      </c>
      <c r="M8" s="6">
        <f t="shared" si="2"/>
        <v>8.4737101307647347</v>
      </c>
      <c r="N8" s="5">
        <f t="shared" si="3"/>
        <v>1.8526868293123444E-2</v>
      </c>
      <c r="O8" s="6">
        <f t="shared" si="4"/>
        <v>8.3687067976482297</v>
      </c>
      <c r="P8" s="6">
        <f t="shared" si="5"/>
        <v>8.5787134638812397</v>
      </c>
      <c r="Q8" s="6">
        <f t="shared" si="0"/>
        <v>8.3687067976482297</v>
      </c>
      <c r="R8" s="5">
        <f t="shared" si="6"/>
        <v>1.8526868293123444E-2</v>
      </c>
      <c r="S8" s="6">
        <f t="shared" si="7"/>
        <v>8.3966423005317061</v>
      </c>
      <c r="T8" s="6">
        <v>8.3966423005317061</v>
      </c>
    </row>
    <row r="9" spans="1:20" x14ac:dyDescent="0.25">
      <c r="A9" s="3">
        <v>42795</v>
      </c>
      <c r="B9" s="6">
        <v>8.2889079349128902</v>
      </c>
      <c r="C9" s="6">
        <v>8.4984680982346408</v>
      </c>
      <c r="D9" s="6">
        <v>8.2889079349128902</v>
      </c>
      <c r="E9" s="6">
        <v>8.4984680982346408</v>
      </c>
      <c r="F9" s="6">
        <v>8.3354572066193207</v>
      </c>
      <c r="G9" s="6">
        <v>8.3354572066193207</v>
      </c>
      <c r="H9" s="6">
        <v>8.3354572066193207</v>
      </c>
      <c r="I9" s="6">
        <v>8.5304679762793807</v>
      </c>
      <c r="J9" s="1">
        <f t="shared" si="1"/>
        <v>42795</v>
      </c>
      <c r="K9" s="6">
        <f t="shared" si="8"/>
        <v>8.2889079349128902</v>
      </c>
      <c r="L9" s="6">
        <f t="shared" si="9"/>
        <v>8.4984680982346408</v>
      </c>
      <c r="M9" s="6">
        <f t="shared" si="2"/>
        <v>8.3936880165737655</v>
      </c>
      <c r="N9" s="5">
        <f t="shared" si="3"/>
        <v>-9.443574651018527E-3</v>
      </c>
      <c r="O9" s="6">
        <f t="shared" si="4"/>
        <v>8.2889079349128902</v>
      </c>
      <c r="P9" s="6">
        <f t="shared" si="5"/>
        <v>8.4984680982346408</v>
      </c>
      <c r="Q9" s="6">
        <f t="shared" si="0"/>
        <v>8.2889079349128902</v>
      </c>
      <c r="R9" s="5">
        <f t="shared" si="6"/>
        <v>-9.443574651018527E-3</v>
      </c>
      <c r="S9" s="6">
        <f t="shared" si="7"/>
        <v>8.4336990736692492</v>
      </c>
      <c r="T9" s="6">
        <v>8.4336990736692492</v>
      </c>
    </row>
    <row r="10" spans="1:20" x14ac:dyDescent="0.25">
      <c r="A10" s="3">
        <v>42826</v>
      </c>
      <c r="B10" s="6">
        <v>8.5536849327226694</v>
      </c>
      <c r="C10" s="6">
        <v>8.77121576434023</v>
      </c>
      <c r="D10" s="6">
        <v>8.5536849327226694</v>
      </c>
      <c r="E10" s="6">
        <v>8.77121576434023</v>
      </c>
      <c r="F10" s="6">
        <v>8.5118480431071593</v>
      </c>
      <c r="G10" s="6">
        <v>8.5118480431071593</v>
      </c>
      <c r="H10" s="6">
        <v>8.5118480431071593</v>
      </c>
      <c r="I10" s="6">
        <v>8.7091875393441107</v>
      </c>
      <c r="J10" s="1">
        <f t="shared" si="1"/>
        <v>42826</v>
      </c>
      <c r="K10" s="6">
        <f t="shared" si="8"/>
        <v>8.5536849327226694</v>
      </c>
      <c r="L10" s="6">
        <f t="shared" si="9"/>
        <v>8.77121576434023</v>
      </c>
      <c r="M10" s="6">
        <f t="shared" si="2"/>
        <v>8.6624503485314488</v>
      </c>
      <c r="N10" s="5">
        <f t="shared" si="3"/>
        <v>3.2019576070375644E-2</v>
      </c>
      <c r="O10" s="6">
        <f t="shared" si="4"/>
        <v>8.5536849327226694</v>
      </c>
      <c r="P10" s="6">
        <f t="shared" si="5"/>
        <v>8.77121576434023</v>
      </c>
      <c r="Q10" s="6">
        <f t="shared" si="0"/>
        <v>8.5536849327226694</v>
      </c>
      <c r="R10" s="5">
        <f t="shared" si="6"/>
        <v>3.2019576070375644E-2</v>
      </c>
      <c r="S10" s="6">
        <f t="shared" si="7"/>
        <v>8.5280691825526063</v>
      </c>
      <c r="T10" s="6">
        <v>8.5280691825526063</v>
      </c>
    </row>
    <row r="11" spans="1:20" x14ac:dyDescent="0.25">
      <c r="A11" s="3">
        <v>42856</v>
      </c>
      <c r="B11" s="6">
        <v>8.6305976523524492</v>
      </c>
      <c r="C11" s="6">
        <v>8.8500086079265294</v>
      </c>
      <c r="D11" s="6">
        <v>8.6305976523524492</v>
      </c>
      <c r="E11" s="6">
        <v>8.8500086079265294</v>
      </c>
      <c r="F11" s="6">
        <v>8.6161158233767008</v>
      </c>
      <c r="G11" s="6">
        <v>8.6161158233767008</v>
      </c>
      <c r="H11" s="6">
        <v>8.6161158233767008</v>
      </c>
      <c r="I11" s="6">
        <v>8.8168499443026906</v>
      </c>
      <c r="J11" s="1">
        <f t="shared" si="1"/>
        <v>42856</v>
      </c>
      <c r="K11" s="6">
        <f t="shared" si="8"/>
        <v>8.6305976523524492</v>
      </c>
      <c r="L11" s="6">
        <f t="shared" si="9"/>
        <v>8.8500086079265294</v>
      </c>
      <c r="M11" s="6">
        <f t="shared" si="2"/>
        <v>8.7403031301394876</v>
      </c>
      <c r="N11" s="5">
        <f t="shared" si="3"/>
        <v>8.9873856098046101E-3</v>
      </c>
      <c r="O11" s="6">
        <f t="shared" si="4"/>
        <v>8.6305976523524492</v>
      </c>
      <c r="P11" s="6">
        <f t="shared" si="5"/>
        <v>8.8500086079265294</v>
      </c>
      <c r="Q11" s="6">
        <f t="shared" si="0"/>
        <v>8.6305976523524492</v>
      </c>
      <c r="R11" s="5">
        <f t="shared" si="6"/>
        <v>8.9873856098046101E-3</v>
      </c>
      <c r="S11" s="6">
        <f t="shared" si="7"/>
        <v>8.7013767393354691</v>
      </c>
      <c r="T11" s="6">
        <v>8.7013767393354691</v>
      </c>
    </row>
    <row r="12" spans="1:20" x14ac:dyDescent="0.25">
      <c r="A12" s="3">
        <v>42887</v>
      </c>
      <c r="B12" s="6">
        <v>8.82050131967463</v>
      </c>
      <c r="C12" s="6">
        <v>9.0437415808855004</v>
      </c>
      <c r="D12" s="6">
        <v>8.82050131967463</v>
      </c>
      <c r="E12" s="6">
        <v>9.0437415808855004</v>
      </c>
      <c r="F12" s="6">
        <v>8.8379238967645097</v>
      </c>
      <c r="G12" s="6">
        <v>8.8379238967645097</v>
      </c>
      <c r="H12" s="6">
        <v>8.8379238967645097</v>
      </c>
      <c r="I12" s="6">
        <v>9.04296006775383</v>
      </c>
      <c r="J12" s="1">
        <f t="shared" si="1"/>
        <v>42887</v>
      </c>
      <c r="K12" s="6">
        <f t="shared" si="8"/>
        <v>8.82050131967463</v>
      </c>
      <c r="L12" s="6">
        <f t="shared" si="9"/>
        <v>9.0437415808855004</v>
      </c>
      <c r="M12" s="6">
        <f t="shared" si="2"/>
        <v>8.9321214502800608</v>
      </c>
      <c r="N12" s="5">
        <f t="shared" si="3"/>
        <v>2.1946415048137213E-2</v>
      </c>
      <c r="O12" s="6">
        <f t="shared" si="4"/>
        <v>8.82050131967463</v>
      </c>
      <c r="P12" s="6">
        <f t="shared" si="5"/>
        <v>9.0437415808855004</v>
      </c>
      <c r="Q12" s="6">
        <f t="shared" si="0"/>
        <v>8.82050131967463</v>
      </c>
      <c r="R12" s="5">
        <f t="shared" si="6"/>
        <v>2.1946415048137213E-2</v>
      </c>
      <c r="S12" s="6">
        <f t="shared" si="7"/>
        <v>8.8362122902097742</v>
      </c>
      <c r="T12" s="6">
        <v>8.8362122902097742</v>
      </c>
    </row>
    <row r="13" spans="1:20" x14ac:dyDescent="0.25">
      <c r="A13" s="3">
        <v>42917</v>
      </c>
      <c r="B13" s="6">
        <v>8.9107633552584993</v>
      </c>
      <c r="C13" s="6">
        <v>9.1328376952517196</v>
      </c>
      <c r="D13" s="6">
        <v>8.9107633552584993</v>
      </c>
      <c r="E13" s="6">
        <v>9.1328376952517196</v>
      </c>
      <c r="F13" s="6">
        <v>8.9139136704378306</v>
      </c>
      <c r="G13" s="6">
        <v>8.9139136704378306</v>
      </c>
      <c r="H13" s="6">
        <v>8.9139136704378306</v>
      </c>
      <c r="I13" s="6">
        <v>9.1189668566142092</v>
      </c>
      <c r="J13" s="1">
        <f t="shared" si="1"/>
        <v>42917</v>
      </c>
      <c r="K13" s="6">
        <f t="shared" si="8"/>
        <v>8.9107633552584993</v>
      </c>
      <c r="L13" s="6">
        <f t="shared" si="9"/>
        <v>9.1328376952517196</v>
      </c>
      <c r="M13" s="6">
        <f t="shared" si="2"/>
        <v>9.1294154152251572</v>
      </c>
      <c r="N13" s="20">
        <f t="shared" ref="N13:N42" si="10">IF(K$3=1,(B13/B12)-1,IF(L$3=1,(C13/C12)-1,(AVERAGE(B13:C13)/AVERAGE(B12:C12)-1)))*(1+N$4)</f>
        <v>2.2088141774976845E-2</v>
      </c>
      <c r="O13" s="6">
        <f t="shared" si="4"/>
        <v>8.9107633552584993</v>
      </c>
      <c r="P13" s="6">
        <f t="shared" si="5"/>
        <v>9.1328376952517196</v>
      </c>
      <c r="Q13" s="6">
        <f t="shared" si="0"/>
        <v>8.9107633552584993</v>
      </c>
      <c r="R13" s="5">
        <f t="shared" ref="R13:R21" si="11">IF(O$3=1,(D13/D12)-1,IF(P$3=1,(E13/E12)-1,(AVERAGE(D13:E13)/AVERAGE(D12:E12)-1)))*(1+R$4)</f>
        <v>8.0320515545370345E-3</v>
      </c>
      <c r="S13" s="6">
        <f t="shared" si="7"/>
        <v>9.030768432752609</v>
      </c>
      <c r="T13" s="6">
        <v>8.9679930802700802</v>
      </c>
    </row>
    <row r="14" spans="1:20" x14ac:dyDescent="0.25">
      <c r="A14" s="3">
        <v>42948</v>
      </c>
      <c r="B14" s="6">
        <v>8.9480793949868591</v>
      </c>
      <c r="C14" s="6">
        <v>9.1670094373768904</v>
      </c>
      <c r="D14" s="6">
        <v>8.9480793949868591</v>
      </c>
      <c r="E14" s="6">
        <v>9.1670094373768904</v>
      </c>
      <c r="F14" s="6">
        <v>8.9212113437405094</v>
      </c>
      <c r="G14" s="6">
        <v>8.9212113437405094</v>
      </c>
      <c r="H14" s="6">
        <v>8.9212113437405094</v>
      </c>
      <c r="I14" s="6">
        <v>9.1254283711135908</v>
      </c>
      <c r="J14" s="1">
        <f t="shared" si="1"/>
        <v>42948</v>
      </c>
      <c r="K14" s="6">
        <f t="shared" si="8"/>
        <v>8.9480793949868591</v>
      </c>
      <c r="L14" s="6">
        <f t="shared" si="9"/>
        <v>9.1670094373768904</v>
      </c>
      <c r="M14" s="6">
        <f t="shared" si="2"/>
        <v>9.2089899770223944</v>
      </c>
      <c r="N14" s="20">
        <f t="shared" si="10"/>
        <v>8.7162822785486604E-3</v>
      </c>
      <c r="O14" s="6">
        <f t="shared" si="4"/>
        <v>8.9480793949868591</v>
      </c>
      <c r="P14" s="6">
        <f t="shared" si="5"/>
        <v>9.1670094373768904</v>
      </c>
      <c r="Q14" s="6">
        <f t="shared" si="0"/>
        <v>8.9480793949868591</v>
      </c>
      <c r="R14" s="5">
        <f t="shared" si="11"/>
        <v>3.1695571921995127E-3</v>
      </c>
      <c r="S14" s="6">
        <f t="shared" si="7"/>
        <v>9.1692026961237758</v>
      </c>
      <c r="T14" s="6">
        <v>9.0181338423350965</v>
      </c>
    </row>
    <row r="15" spans="1:20" x14ac:dyDescent="0.25">
      <c r="A15" s="3">
        <v>42979</v>
      </c>
      <c r="B15" s="6">
        <v>8.9551250661870707</v>
      </c>
      <c r="C15" s="6">
        <v>9.1746726358881592</v>
      </c>
      <c r="D15" s="6">
        <v>8.9551250661870707</v>
      </c>
      <c r="E15" s="6">
        <v>9.1746726358881592</v>
      </c>
      <c r="F15" s="6">
        <v>8.9842638118496296</v>
      </c>
      <c r="G15" s="6">
        <v>8.9842638118496296</v>
      </c>
      <c r="H15" s="6">
        <v>8.9842638118496296</v>
      </c>
      <c r="I15" s="6">
        <v>9.1926101625051899</v>
      </c>
      <c r="J15" s="1">
        <f t="shared" si="1"/>
        <v>42979</v>
      </c>
      <c r="K15" s="6">
        <f t="shared" si="8"/>
        <v>8.9551250661870707</v>
      </c>
      <c r="L15" s="6">
        <f t="shared" si="9"/>
        <v>9.1746726358881592</v>
      </c>
      <c r="M15" s="6">
        <f t="shared" si="2"/>
        <v>9.2254402653427903</v>
      </c>
      <c r="N15" s="20">
        <f t="shared" si="10"/>
        <v>1.7863292675356136E-3</v>
      </c>
      <c r="O15" s="6">
        <f t="shared" si="4"/>
        <v>8.9551250661870707</v>
      </c>
      <c r="P15" s="6">
        <f t="shared" si="5"/>
        <v>9.1746726358881592</v>
      </c>
      <c r="Q15" s="6">
        <f t="shared" si="0"/>
        <v>8.9551250661870707</v>
      </c>
      <c r="R15" s="5">
        <f t="shared" si="11"/>
        <v>6.4957427910385947E-4</v>
      </c>
      <c r="S15" s="6">
        <f t="shared" si="7"/>
        <v>9.2172151211825923</v>
      </c>
      <c r="T15" s="6">
        <v>9.0353365827354324</v>
      </c>
    </row>
    <row r="16" spans="1:20" x14ac:dyDescent="0.25">
      <c r="A16" s="3">
        <v>43009</v>
      </c>
      <c r="B16" s="6">
        <v>9.0046991069869495</v>
      </c>
      <c r="C16" s="6">
        <v>9.2249292444076296</v>
      </c>
      <c r="D16" s="6">
        <v>9.0046991069869495</v>
      </c>
      <c r="E16" s="6">
        <v>9.2249292444076296</v>
      </c>
      <c r="F16" s="6">
        <v>8.9938234159457302</v>
      </c>
      <c r="G16" s="6">
        <v>8.9938234159457302</v>
      </c>
      <c r="H16" s="6">
        <v>8.9938234159457302</v>
      </c>
      <c r="I16" s="6">
        <v>9.2050506290747691</v>
      </c>
      <c r="J16" s="1">
        <f t="shared" si="1"/>
        <v>43009</v>
      </c>
      <c r="K16" s="6">
        <f t="shared" si="8"/>
        <v>9.0046991069869495</v>
      </c>
      <c r="L16" s="6">
        <f t="shared" si="9"/>
        <v>9.2249292444076296</v>
      </c>
      <c r="M16" s="6">
        <f t="shared" si="2"/>
        <v>9.3371988053759996</v>
      </c>
      <c r="N16" s="20">
        <f t="shared" si="10"/>
        <v>1.2114168735453479E-2</v>
      </c>
      <c r="O16" s="6">
        <f t="shared" si="4"/>
        <v>9.0046991069869495</v>
      </c>
      <c r="P16" s="6">
        <f t="shared" si="5"/>
        <v>9.2249292444076296</v>
      </c>
      <c r="Q16" s="6">
        <f t="shared" si="0"/>
        <v>9.0046991069869495</v>
      </c>
      <c r="R16" s="5">
        <f t="shared" si="11"/>
        <v>4.4051522674376292E-3</v>
      </c>
      <c r="S16" s="6">
        <f t="shared" si="7"/>
        <v>9.281319535359394</v>
      </c>
      <c r="T16" s="6">
        <v>9.0581776692737037</v>
      </c>
    </row>
    <row r="17" spans="1:20" x14ac:dyDescent="0.25">
      <c r="A17" s="3">
        <v>43040</v>
      </c>
      <c r="B17" s="6">
        <v>8.76890312466473</v>
      </c>
      <c r="C17" s="6">
        <v>8.9877802344410096</v>
      </c>
      <c r="D17" s="6">
        <v>8.76890312466473</v>
      </c>
      <c r="E17" s="6">
        <v>8.9877802344410096</v>
      </c>
      <c r="F17" s="6">
        <v>8.7898395689625595</v>
      </c>
      <c r="G17" s="6">
        <v>8.7898395689625595</v>
      </c>
      <c r="H17" s="6">
        <v>8.7898395689625595</v>
      </c>
      <c r="I17" s="6">
        <v>8.9983103056982898</v>
      </c>
      <c r="J17" s="1">
        <f t="shared" si="1"/>
        <v>43040</v>
      </c>
      <c r="K17" s="6">
        <f t="shared" si="8"/>
        <v>8.76890312466473</v>
      </c>
      <c r="L17" s="6">
        <f t="shared" si="9"/>
        <v>8.9877802344410096</v>
      </c>
      <c r="M17" s="6">
        <f t="shared" si="2"/>
        <v>8.804266431213021</v>
      </c>
      <c r="N17" s="20">
        <f t="shared" si="10"/>
        <v>-5.7076258658660735E-2</v>
      </c>
      <c r="O17" s="6">
        <f t="shared" si="4"/>
        <v>8.76890312466473</v>
      </c>
      <c r="P17" s="6">
        <f t="shared" si="5"/>
        <v>8.9877802344410096</v>
      </c>
      <c r="Q17" s="6">
        <f t="shared" si="0"/>
        <v>8.76890312466473</v>
      </c>
      <c r="R17" s="5">
        <f t="shared" si="11"/>
        <v>-2.0755003148603901E-2</v>
      </c>
      <c r="S17" s="6">
        <f t="shared" si="7"/>
        <v>9.0707326182945103</v>
      </c>
      <c r="T17" s="6">
        <v>8.9838773045769464</v>
      </c>
    </row>
    <row r="18" spans="1:20" x14ac:dyDescent="0.25">
      <c r="A18" s="3">
        <v>43070</v>
      </c>
      <c r="B18" s="6">
        <v>8.6555966907219304</v>
      </c>
      <c r="C18" s="6">
        <v>8.8689525506267994</v>
      </c>
      <c r="D18" s="6">
        <v>8.6555966907219304</v>
      </c>
      <c r="E18" s="6">
        <v>8.8689525506267994</v>
      </c>
      <c r="F18" s="6">
        <v>8.6554776561914402</v>
      </c>
      <c r="G18" s="6">
        <v>8.6554776561914402</v>
      </c>
      <c r="H18" s="6">
        <v>8.6554776561914402</v>
      </c>
      <c r="I18" s="6">
        <v>8.8595008824785708</v>
      </c>
      <c r="J18" s="1">
        <f t="shared" si="1"/>
        <v>43070</v>
      </c>
      <c r="K18" s="6">
        <f t="shared" si="8"/>
        <v>8.6555966907219304</v>
      </c>
      <c r="L18" s="6">
        <f t="shared" si="9"/>
        <v>8.8689525506267994</v>
      </c>
      <c r="M18" s="6">
        <f t="shared" si="2"/>
        <v>8.5510493594105732</v>
      </c>
      <c r="N18" s="20">
        <f t="shared" si="10"/>
        <v>-2.8760723426626434E-2</v>
      </c>
      <c r="O18" s="6">
        <f t="shared" si="4"/>
        <v>8.6555966907219304</v>
      </c>
      <c r="P18" s="6">
        <f t="shared" si="5"/>
        <v>8.8689525506267994</v>
      </c>
      <c r="Q18" s="6">
        <f>K18</f>
        <v>8.6555966907219304</v>
      </c>
      <c r="R18" s="5">
        <f t="shared" si="11"/>
        <v>-1.0458444882409613E-2</v>
      </c>
      <c r="S18" s="6">
        <f t="shared" si="7"/>
        <v>8.6776578953117962</v>
      </c>
      <c r="T18" s="6">
        <v>8.8431834026234135</v>
      </c>
    </row>
    <row r="19" spans="1:20" x14ac:dyDescent="0.25">
      <c r="A19" s="3">
        <v>43101</v>
      </c>
      <c r="B19" s="6">
        <v>8.5579686155119106</v>
      </c>
      <c r="C19" s="6">
        <v>8.7676128963580897</v>
      </c>
      <c r="D19" s="6">
        <v>8.5579686155119106</v>
      </c>
      <c r="E19" s="6">
        <v>8.7676128963580897</v>
      </c>
      <c r="F19" s="6">
        <v>8.5647639120112107</v>
      </c>
      <c r="G19" s="6">
        <v>8.5647639120112107</v>
      </c>
      <c r="H19" s="6">
        <v>8.5647639120112107</v>
      </c>
      <c r="I19" s="6">
        <v>8.7660840685114199</v>
      </c>
      <c r="J19" s="1">
        <f t="shared" si="1"/>
        <v>43101</v>
      </c>
      <c r="K19" s="6">
        <f t="shared" si="8"/>
        <v>8.5579686155119106</v>
      </c>
      <c r="L19" s="6">
        <f t="shared" si="9"/>
        <v>8.7676128963580897</v>
      </c>
      <c r="M19" s="6">
        <f t="shared" si="2"/>
        <v>8.3374608513698725</v>
      </c>
      <c r="N19" s="20">
        <f t="shared" si="10"/>
        <v>-2.4978046443579819E-2</v>
      </c>
      <c r="O19" s="6">
        <f t="shared" si="4"/>
        <v>8.5579686155119106</v>
      </c>
      <c r="P19" s="6">
        <f t="shared" si="5"/>
        <v>8.7676128963580897</v>
      </c>
      <c r="Q19" s="6">
        <f t="shared" si="0"/>
        <v>8.5579686155119106</v>
      </c>
      <c r="R19" s="5">
        <f t="shared" si="11"/>
        <v>-9.0829259794835693E-3</v>
      </c>
      <c r="S19" s="6">
        <f t="shared" si="7"/>
        <v>8.4442551053902228</v>
      </c>
      <c r="T19" s="6">
        <v>8.7567474681617448</v>
      </c>
    </row>
    <row r="20" spans="1:20" x14ac:dyDescent="0.25">
      <c r="A20" s="3">
        <v>43132</v>
      </c>
      <c r="B20" s="6">
        <v>8.6584997644427109</v>
      </c>
      <c r="C20" s="6">
        <v>8.8772704176211406</v>
      </c>
      <c r="D20" s="6">
        <v>8.6584997644427109</v>
      </c>
      <c r="E20" s="6">
        <v>8.8772704176211406</v>
      </c>
      <c r="F20" s="6">
        <v>8.5754788326424691</v>
      </c>
      <c r="G20" s="6">
        <v>8.5754788326424691</v>
      </c>
      <c r="H20" s="6">
        <v>8.5754788326424691</v>
      </c>
      <c r="I20" s="6">
        <v>8.77825819718643</v>
      </c>
      <c r="J20" s="1">
        <f t="shared" si="1"/>
        <v>43132</v>
      </c>
      <c r="K20" s="6">
        <f t="shared" si="8"/>
        <v>8.6584997644427109</v>
      </c>
      <c r="L20" s="6">
        <f t="shared" si="9"/>
        <v>8.8772704176211406</v>
      </c>
      <c r="M20" s="6">
        <f t="shared" si="2"/>
        <v>8.5599854216114348</v>
      </c>
      <c r="N20" s="20">
        <f t="shared" si="10"/>
        <v>2.668972894847248E-2</v>
      </c>
      <c r="O20" s="6">
        <f t="shared" si="4"/>
        <v>8.6584997644427109</v>
      </c>
      <c r="P20" s="6">
        <f t="shared" si="5"/>
        <v>8.8772704176211406</v>
      </c>
      <c r="Q20" s="6">
        <f t="shared" si="0"/>
        <v>8.6584997644427109</v>
      </c>
      <c r="R20" s="5">
        <f t="shared" si="11"/>
        <v>9.705355981262721E-3</v>
      </c>
      <c r="S20" s="6">
        <f t="shared" si="7"/>
        <v>8.4487231364906528</v>
      </c>
      <c r="T20" s="6">
        <v>8.7693787995548327</v>
      </c>
    </row>
    <row r="21" spans="1:20" x14ac:dyDescent="0.25">
      <c r="A21" s="3">
        <v>43160</v>
      </c>
      <c r="B21" s="6">
        <v>8.5403446924450996</v>
      </c>
      <c r="C21" s="6">
        <v>8.7777974317289509</v>
      </c>
      <c r="D21" s="6">
        <v>8.5403446924450996</v>
      </c>
      <c r="E21" s="6">
        <v>8.7777974317289509</v>
      </c>
      <c r="F21" s="6">
        <v>8.4694948060604798</v>
      </c>
      <c r="G21" s="6">
        <v>8.4694948060604798</v>
      </c>
      <c r="H21" s="6">
        <v>8.4694948060604798</v>
      </c>
      <c r="I21" s="6">
        <v>8.6713815033140396</v>
      </c>
      <c r="J21" s="1">
        <f t="shared" si="1"/>
        <v>43160</v>
      </c>
      <c r="K21" s="6">
        <f t="shared" si="8"/>
        <v>8.5403446924450996</v>
      </c>
      <c r="L21" s="6">
        <f t="shared" si="9"/>
        <v>8.7777974317289509</v>
      </c>
      <c r="M21" s="6">
        <f t="shared" si="2"/>
        <v>8.3262708733615636</v>
      </c>
      <c r="N21" s="20">
        <f t="shared" si="10"/>
        <v>-2.730314793058073E-2</v>
      </c>
      <c r="O21" s="6">
        <f t="shared" si="4"/>
        <v>8.5403446924450996</v>
      </c>
      <c r="P21" s="6">
        <f t="shared" si="5"/>
        <v>8.7777974317289509</v>
      </c>
      <c r="Q21" s="6">
        <f>K21</f>
        <v>8.5403446924450996</v>
      </c>
      <c r="R21" s="5">
        <f t="shared" si="11"/>
        <v>-9.9284174293020836E-3</v>
      </c>
      <c r="S21" s="6">
        <f t="shared" si="7"/>
        <v>8.4431281474864992</v>
      </c>
      <c r="T21" s="6">
        <v>8.825650863209674</v>
      </c>
    </row>
    <row r="22" spans="1:20" x14ac:dyDescent="0.25">
      <c r="A22" s="3">
        <v>43191</v>
      </c>
      <c r="B22" s="6">
        <v>9.1938498324878797</v>
      </c>
      <c r="C22" s="6">
        <v>9.4207911448315809</v>
      </c>
      <c r="D22" s="6">
        <v>9.0963885550765706</v>
      </c>
      <c r="E22" s="6">
        <v>9.3262330790576193</v>
      </c>
      <c r="F22" s="6">
        <v>8.3195078996824794</v>
      </c>
      <c r="G22" s="6">
        <v>8.3195078996824794</v>
      </c>
      <c r="H22" s="6">
        <v>8.3195078996824794</v>
      </c>
      <c r="I22" s="6">
        <v>8.5149979945798595</v>
      </c>
      <c r="J22" s="1">
        <f t="shared" si="1"/>
        <v>43191</v>
      </c>
      <c r="K22" s="6">
        <f t="shared" si="8"/>
        <v>9.1938498324878797</v>
      </c>
      <c r="L22" s="6">
        <f t="shared" si="9"/>
        <v>9.4207911448315809</v>
      </c>
      <c r="M22" s="6">
        <f t="shared" si="2"/>
        <v>9.6976074309412645</v>
      </c>
      <c r="N22" s="20">
        <f t="shared" si="10"/>
        <v>0.164699969342464</v>
      </c>
      <c r="O22" s="6">
        <f t="shared" si="4"/>
        <v>9.0963885550765706</v>
      </c>
      <c r="P22" s="6">
        <f t="shared" si="5"/>
        <v>9.3262330790576193</v>
      </c>
      <c r="Q22" s="6">
        <f t="shared" ref="Q22:Q42" si="12">IF(Q$3=1,Q21*(1+$R22),AVERAGE(D22:E22))</f>
        <v>9.0850125703946389</v>
      </c>
      <c r="R22" s="14">
        <f>IF(O$3=1,(D22/D21)-1,IF(P$3=1,(E22/E21)-1,(AVERAGE(O22:P22)/AVERAGE(O21:P21)-1)))</f>
        <v>6.3775865912222507E-2</v>
      </c>
      <c r="S22" s="6">
        <f>AVERAGE(M21:M22)</f>
        <v>9.0119391521514132</v>
      </c>
      <c r="T22" s="6">
        <v>9.2534543423700431</v>
      </c>
    </row>
    <row r="23" spans="1:20" x14ac:dyDescent="0.25">
      <c r="A23" s="3">
        <v>43221</v>
      </c>
      <c r="B23" s="6">
        <v>9.3751150117952609</v>
      </c>
      <c r="C23" s="6">
        <v>9.6952440095006693</v>
      </c>
      <c r="D23" s="6">
        <v>9.18093074089429</v>
      </c>
      <c r="E23" s="6">
        <v>9.4998289385788208</v>
      </c>
      <c r="F23" s="6">
        <v>8.1928448532863598</v>
      </c>
      <c r="G23" s="6">
        <v>8.1928448532863598</v>
      </c>
      <c r="H23" s="6">
        <v>8.1928448532863598</v>
      </c>
      <c r="I23" s="6">
        <v>8.3861881190736494</v>
      </c>
      <c r="J23" s="1">
        <f t="shared" si="1"/>
        <v>43221</v>
      </c>
      <c r="K23" s="6">
        <f t="shared" si="8"/>
        <v>9.3751150117952609</v>
      </c>
      <c r="L23" s="6">
        <f t="shared" si="9"/>
        <v>9.6952440095006693</v>
      </c>
      <c r="M23" s="6">
        <f t="shared" si="2"/>
        <v>10.219918031996786</v>
      </c>
      <c r="N23" s="20">
        <f t="shared" si="10"/>
        <v>5.385973857727349E-2</v>
      </c>
      <c r="O23" s="6">
        <f t="shared" si="4"/>
        <v>9.18093074089429</v>
      </c>
      <c r="P23" s="6">
        <f t="shared" si="5"/>
        <v>9.4998289385788208</v>
      </c>
      <c r="Q23" s="6">
        <f t="shared" si="12"/>
        <v>9.212311900173848</v>
      </c>
      <c r="R23" s="14">
        <f t="shared" ref="R23:R25" si="13">IF(O$3=1,(D23/D22)-1,IF(P$3=1,(E23/E22)-1,(AVERAGE(O23:P23)/AVERAGE(O22:P22)-1)))</f>
        <v>1.4012014710253595E-2</v>
      </c>
      <c r="S23" s="6">
        <f t="shared" si="7"/>
        <v>9.9587627314690259</v>
      </c>
      <c r="T23" s="6">
        <v>9.4085764123225442</v>
      </c>
    </row>
    <row r="24" spans="1:20" x14ac:dyDescent="0.25">
      <c r="A24" s="3">
        <v>43252</v>
      </c>
      <c r="B24" s="6">
        <v>9.3291097200581401</v>
      </c>
      <c r="C24" s="6">
        <v>9.7278061767843305</v>
      </c>
      <c r="D24" s="6">
        <v>9.0390316057159392</v>
      </c>
      <c r="E24" s="6">
        <v>9.4543696720422492</v>
      </c>
      <c r="F24" s="6">
        <v>7.9704261024786103</v>
      </c>
      <c r="G24" s="6">
        <v>7.9704261024786103</v>
      </c>
      <c r="H24" s="6">
        <v>7.9704261024786103</v>
      </c>
      <c r="I24" s="6">
        <v>8.1589155326413998</v>
      </c>
      <c r="J24" s="1">
        <f t="shared" si="1"/>
        <v>43252</v>
      </c>
      <c r="K24" s="6">
        <f t="shared" si="8"/>
        <v>9.3291097200581401</v>
      </c>
      <c r="L24" s="6">
        <f t="shared" si="9"/>
        <v>9.7278061767843305</v>
      </c>
      <c r="M24" s="6">
        <f t="shared" si="2"/>
        <v>10.204068682454874</v>
      </c>
      <c r="N24" s="20">
        <f t="shared" si="10"/>
        <v>-1.5508294188162131E-3</v>
      </c>
      <c r="O24" s="6">
        <f t="shared" si="4"/>
        <v>9.0390316057159392</v>
      </c>
      <c r="P24" s="6">
        <f t="shared" si="5"/>
        <v>9.4543696720422492</v>
      </c>
      <c r="Q24" s="6">
        <f t="shared" si="12"/>
        <v>9.1199171548138658</v>
      </c>
      <c r="R24" s="14">
        <f t="shared" si="13"/>
        <v>-1.0029485145660266E-2</v>
      </c>
      <c r="S24" s="6">
        <f t="shared" si="7"/>
        <v>10.211993357225829</v>
      </c>
      <c r="T24" s="6">
        <v>9.1109035278443038</v>
      </c>
    </row>
    <row r="25" spans="1:20" x14ac:dyDescent="0.25">
      <c r="A25" s="3">
        <v>43282</v>
      </c>
      <c r="B25" s="6">
        <v>9.5443676111214408</v>
      </c>
      <c r="C25" s="6">
        <v>10.0494595751729</v>
      </c>
      <c r="D25" s="6">
        <v>9.1794280704558098</v>
      </c>
      <c r="E25" s="6">
        <v>9.6799585982094705</v>
      </c>
      <c r="F25" s="6">
        <v>7.89794809080911</v>
      </c>
      <c r="G25" s="6">
        <v>7.89794809080911</v>
      </c>
      <c r="H25" s="6">
        <v>7.89794809080911</v>
      </c>
      <c r="I25" s="6">
        <v>8.0831735835132807</v>
      </c>
      <c r="J25" s="1">
        <f t="shared" si="1"/>
        <v>43282</v>
      </c>
      <c r="K25" s="6">
        <f t="shared" si="8"/>
        <v>9.5443676111214408</v>
      </c>
      <c r="L25" s="6">
        <f t="shared" si="9"/>
        <v>10.0494595751729</v>
      </c>
      <c r="M25" s="6">
        <f t="shared" si="2"/>
        <v>10.836547481644631</v>
      </c>
      <c r="N25" s="20">
        <f t="shared" si="10"/>
        <v>6.1983000984426669E-2</v>
      </c>
      <c r="O25" s="6">
        <f t="shared" si="4"/>
        <v>9.1794280704558098</v>
      </c>
      <c r="P25" s="6">
        <f t="shared" si="5"/>
        <v>9.6799585982094705</v>
      </c>
      <c r="Q25" s="6">
        <f t="shared" si="12"/>
        <v>9.3004007984018706</v>
      </c>
      <c r="R25" s="14">
        <f t="shared" si="13"/>
        <v>1.9790052971340621E-2</v>
      </c>
      <c r="S25" s="6">
        <f t="shared" si="7"/>
        <v>10.520308082049752</v>
      </c>
      <c r="T25" s="6">
        <v>9.6757845722423568</v>
      </c>
    </row>
    <row r="26" spans="1:20" x14ac:dyDescent="0.25">
      <c r="A26" s="3">
        <v>43313</v>
      </c>
      <c r="B26" s="6">
        <v>9.7063585720159704</v>
      </c>
      <c r="C26" s="6">
        <v>10.315252221332701</v>
      </c>
      <c r="D26" s="6">
        <v>9.2639062113124506</v>
      </c>
      <c r="E26" s="6">
        <v>9.8593324222355392</v>
      </c>
      <c r="F26" s="6">
        <v>7.8087766300575998</v>
      </c>
      <c r="G26" s="6">
        <v>7.8087766300575998</v>
      </c>
      <c r="H26" s="6">
        <v>7.8087766300575998</v>
      </c>
      <c r="I26" s="6">
        <v>7.9929934358232</v>
      </c>
      <c r="J26" s="1">
        <f t="shared" si="1"/>
        <v>43313</v>
      </c>
      <c r="K26" s="6">
        <f t="shared" si="8"/>
        <v>9.7063585720159704</v>
      </c>
      <c r="L26" s="6">
        <f t="shared" si="9"/>
        <v>10.315252221332701</v>
      </c>
      <c r="M26" s="6">
        <f t="shared" si="2"/>
        <v>11.357044785025128</v>
      </c>
      <c r="N26" s="20">
        <f t="shared" si="10"/>
        <v>4.8031654386430228E-2</v>
      </c>
      <c r="O26" s="6">
        <f t="shared" si="4"/>
        <v>9.2639062113124506</v>
      </c>
      <c r="P26" s="6">
        <f t="shared" si="5"/>
        <v>9.8593324222355392</v>
      </c>
      <c r="Q26" s="6">
        <f t="shared" si="12"/>
        <v>9.4382731613264834</v>
      </c>
      <c r="R26" s="14">
        <f t="shared" ref="R26:R54" si="14">IF(O$3=1,(D26/D25)-1,IF(P$3=1,(E26/E25)-1,(AVERAGE(E26)/AVERAGE(E25)-1)))*(1+R$4)</f>
        <v>1.4824346381749898E-2</v>
      </c>
      <c r="S26" s="6">
        <f t="shared" si="7"/>
        <v>11.09679613333488</v>
      </c>
      <c r="T26" s="6">
        <v>10.336104026460806</v>
      </c>
    </row>
    <row r="27" spans="1:20" x14ac:dyDescent="0.25">
      <c r="A27" s="3">
        <v>43344</v>
      </c>
      <c r="B27" s="6">
        <v>9.7706840429178996</v>
      </c>
      <c r="C27" s="6">
        <v>10.483177754140399</v>
      </c>
      <c r="D27" s="6">
        <v>9.2540469804370407</v>
      </c>
      <c r="E27" s="6">
        <v>9.9406947414741396</v>
      </c>
      <c r="F27" s="6">
        <v>7.8518256385687799</v>
      </c>
      <c r="G27" s="6">
        <v>7.8518256385687799</v>
      </c>
      <c r="H27" s="6">
        <v>7.8518256385687799</v>
      </c>
      <c r="I27" s="6">
        <v>8.0497088732343904</v>
      </c>
      <c r="J27" s="1">
        <f t="shared" si="1"/>
        <v>43344</v>
      </c>
      <c r="K27" s="6">
        <f t="shared" si="8"/>
        <v>9.7706840429178996</v>
      </c>
      <c r="L27" s="6">
        <f t="shared" si="9"/>
        <v>10.483177754140399</v>
      </c>
      <c r="M27" s="6">
        <f t="shared" si="2"/>
        <v>11.646876965412021</v>
      </c>
      <c r="N27" s="20">
        <f t="shared" si="10"/>
        <v>2.5520034997929434E-2</v>
      </c>
      <c r="O27" s="6">
        <f t="shared" si="4"/>
        <v>9.2540469804370407</v>
      </c>
      <c r="P27" s="6">
        <f t="shared" si="5"/>
        <v>9.9406947414741396</v>
      </c>
      <c r="Q27" s="6">
        <f t="shared" si="12"/>
        <v>9.500583245711594</v>
      </c>
      <c r="R27" s="14">
        <f t="shared" si="14"/>
        <v>6.6018521947880165E-3</v>
      </c>
      <c r="S27" s="6">
        <f t="shared" si="7"/>
        <v>11.501960875218575</v>
      </c>
      <c r="T27" s="6">
        <v>10.517974206010628</v>
      </c>
    </row>
    <row r="28" spans="1:20" x14ac:dyDescent="0.25">
      <c r="A28" s="3">
        <v>43374</v>
      </c>
      <c r="B28" s="6">
        <v>9.7833100747174804</v>
      </c>
      <c r="C28" s="6">
        <v>10.5871111382828</v>
      </c>
      <c r="D28" s="6">
        <v>9.2208220737040101</v>
      </c>
      <c r="E28" s="6">
        <v>9.9976882312496897</v>
      </c>
      <c r="F28" s="6">
        <v>7.6954470239189403</v>
      </c>
      <c r="G28" s="6">
        <v>7.8929588231209804</v>
      </c>
      <c r="H28" s="6">
        <v>7.6236633486943299</v>
      </c>
      <c r="I28" s="6">
        <v>7.8291621480257696</v>
      </c>
      <c r="J28" s="1">
        <f t="shared" si="1"/>
        <v>43374</v>
      </c>
      <c r="K28" s="6">
        <f t="shared" si="8"/>
        <v>9.7833100747174804</v>
      </c>
      <c r="L28" s="6">
        <f t="shared" si="9"/>
        <v>10.5871111382828</v>
      </c>
      <c r="M28" s="6">
        <f t="shared" si="2"/>
        <v>11.794336102762028</v>
      </c>
      <c r="N28" s="20">
        <f t="shared" si="10"/>
        <v>1.2660830692031633E-2</v>
      </c>
      <c r="O28" s="6">
        <f t="shared" si="4"/>
        <v>9.2208220737040101</v>
      </c>
      <c r="P28" s="6">
        <f t="shared" si="5"/>
        <v>9.9976882312496897</v>
      </c>
      <c r="Q28" s="6">
        <f t="shared" si="12"/>
        <v>9.5441593866681913</v>
      </c>
      <c r="R28" s="14">
        <f t="shared" si="14"/>
        <v>4.5866806099789771E-3</v>
      </c>
      <c r="S28" s="6">
        <f t="shared" si="7"/>
        <v>11.720606534087025</v>
      </c>
      <c r="T28" s="6">
        <v>11.036289573976694</v>
      </c>
    </row>
    <row r="29" spans="1:20" x14ac:dyDescent="0.25">
      <c r="A29" s="3">
        <v>43405</v>
      </c>
      <c r="B29" s="6">
        <v>9.4407901641118208</v>
      </c>
      <c r="C29" s="6">
        <v>10.310591448352801</v>
      </c>
      <c r="D29" s="6">
        <v>8.8522018172505206</v>
      </c>
      <c r="E29" s="6">
        <v>9.6979437143308491</v>
      </c>
      <c r="F29" s="6">
        <v>7.3544463391368096</v>
      </c>
      <c r="G29" s="6">
        <v>7.6141109871873898</v>
      </c>
      <c r="H29" s="6">
        <v>7.2196388919676799</v>
      </c>
      <c r="I29" s="6">
        <v>7.5061982384333303</v>
      </c>
      <c r="J29" s="1">
        <f t="shared" si="1"/>
        <v>43405</v>
      </c>
      <c r="K29" s="6">
        <f t="shared" si="8"/>
        <v>9.4407901641118208</v>
      </c>
      <c r="L29" s="6">
        <f t="shared" si="9"/>
        <v>10.310591448352801</v>
      </c>
      <c r="M29" s="6">
        <f t="shared" si="2"/>
        <v>11.005812671005463</v>
      </c>
      <c r="N29" s="20">
        <f t="shared" si="10"/>
        <v>-6.6856109990956286E-2</v>
      </c>
      <c r="O29" s="6">
        <f t="shared" si="4"/>
        <v>8.8522018172505206</v>
      </c>
      <c r="P29" s="6">
        <f t="shared" si="5"/>
        <v>9.6979437143308491</v>
      </c>
      <c r="Q29" s="6">
        <f t="shared" si="12"/>
        <v>9.3152417106149397</v>
      </c>
      <c r="R29" s="14">
        <f t="shared" si="14"/>
        <v>-2.3985106155395553E-2</v>
      </c>
      <c r="S29" s="6">
        <f t="shared" si="7"/>
        <v>11.400074386883745</v>
      </c>
      <c r="T29" s="6">
        <v>11.318201175342542</v>
      </c>
    </row>
    <row r="30" spans="1:20" x14ac:dyDescent="0.25">
      <c r="A30" s="3">
        <v>43435</v>
      </c>
      <c r="B30" s="6">
        <v>9.1740185453240208</v>
      </c>
      <c r="C30" s="6">
        <v>10.119171179347401</v>
      </c>
      <c r="D30" s="6">
        <v>8.5601140231785795</v>
      </c>
      <c r="E30" s="6">
        <v>9.4691699504026996</v>
      </c>
      <c r="F30" s="6">
        <v>7.0336927685082102</v>
      </c>
      <c r="G30" s="6">
        <v>7.3612678924496002</v>
      </c>
      <c r="H30" s="6">
        <v>6.8447419261012996</v>
      </c>
      <c r="I30" s="6">
        <v>7.1980925333883299</v>
      </c>
      <c r="J30" s="1">
        <f t="shared" si="1"/>
        <v>43435</v>
      </c>
      <c r="K30" s="6">
        <f t="shared" si="8"/>
        <v>9.1740185453240208</v>
      </c>
      <c r="L30" s="6">
        <f t="shared" si="9"/>
        <v>10.119171179347401</v>
      </c>
      <c r="M30" s="6">
        <f t="shared" si="2"/>
        <v>10.444125230429833</v>
      </c>
      <c r="N30" s="20">
        <f t="shared" si="10"/>
        <v>-5.1035526168402151E-2</v>
      </c>
      <c r="O30" s="6">
        <f t="shared" si="4"/>
        <v>8.5601140231785795</v>
      </c>
      <c r="P30" s="6">
        <f t="shared" si="5"/>
        <v>9.4691699504026996</v>
      </c>
      <c r="Q30" s="6">
        <f t="shared" si="12"/>
        <v>9.1394450286945261</v>
      </c>
      <c r="R30" s="14">
        <f t="shared" si="14"/>
        <v>-1.8871939921869085E-2</v>
      </c>
      <c r="S30" s="6">
        <f t="shared" si="7"/>
        <v>10.724968950717649</v>
      </c>
      <c r="T30" s="6">
        <v>11.158217127401205</v>
      </c>
    </row>
    <row r="31" spans="1:20" x14ac:dyDescent="0.25">
      <c r="A31" s="3">
        <v>43466</v>
      </c>
      <c r="B31" s="6">
        <v>9.3120465358997393</v>
      </c>
      <c r="C31" s="6">
        <v>10.385716502553899</v>
      </c>
      <c r="D31" s="6">
        <v>8.5588294067334196</v>
      </c>
      <c r="E31" s="6">
        <v>9.5701906836327701</v>
      </c>
      <c r="F31" s="6">
        <v>6.9896041192037597</v>
      </c>
      <c r="G31" s="6">
        <v>7.3731090916133297</v>
      </c>
      <c r="H31" s="6">
        <v>6.7312152332181396</v>
      </c>
      <c r="I31" s="6">
        <v>7.1411620772336599</v>
      </c>
      <c r="J31" s="1">
        <f t="shared" si="1"/>
        <v>43466</v>
      </c>
      <c r="K31" s="6">
        <f t="shared" si="8"/>
        <v>9.3120465358997393</v>
      </c>
      <c r="L31" s="6">
        <f t="shared" si="9"/>
        <v>10.385716502553899</v>
      </c>
      <c r="M31" s="6">
        <f t="shared" si="2"/>
        <v>10.92594869827154</v>
      </c>
      <c r="N31" s="20">
        <f t="shared" si="10"/>
        <v>4.6133444133537795E-2</v>
      </c>
      <c r="O31" s="6">
        <f t="shared" si="4"/>
        <v>8.5588294067334196</v>
      </c>
      <c r="P31" s="6">
        <f t="shared" si="5"/>
        <v>9.5701906836327701</v>
      </c>
      <c r="Q31" s="6">
        <f t="shared" si="12"/>
        <v>9.2174475098370579</v>
      </c>
      <c r="R31" s="14">
        <f t="shared" si="14"/>
        <v>8.5347065273255751E-3</v>
      </c>
      <c r="S31" s="6">
        <f t="shared" si="7"/>
        <v>10.685036964350687</v>
      </c>
      <c r="T31" s="6">
        <v>11.45502303331253</v>
      </c>
    </row>
    <row r="32" spans="1:20" x14ac:dyDescent="0.25">
      <c r="A32" s="3">
        <v>43497</v>
      </c>
      <c r="B32" s="6">
        <v>9.3877010361021807</v>
      </c>
      <c r="C32" s="6">
        <v>10.583255524683601</v>
      </c>
      <c r="D32" s="6">
        <v>8.5000597996593896</v>
      </c>
      <c r="E32" s="6">
        <v>9.6193370510690102</v>
      </c>
      <c r="F32" s="6">
        <v>6.8646391008549097</v>
      </c>
      <c r="G32" s="6">
        <v>7.3201010665462496</v>
      </c>
      <c r="H32" s="6">
        <v>6.5410597003386597</v>
      </c>
      <c r="I32" s="6">
        <v>7.02770441320882</v>
      </c>
      <c r="J32" s="1">
        <f t="shared" si="1"/>
        <v>43497</v>
      </c>
      <c r="K32" s="6">
        <f t="shared" si="8"/>
        <v>9.3877010361021807</v>
      </c>
      <c r="L32" s="6">
        <f t="shared" si="9"/>
        <v>10.583255524683601</v>
      </c>
      <c r="M32" s="6">
        <f t="shared" si="2"/>
        <v>11.259325462349919</v>
      </c>
      <c r="N32" s="20">
        <f t="shared" si="10"/>
        <v>3.0512385998217043E-2</v>
      </c>
      <c r="O32" s="6">
        <f t="shared" si="4"/>
        <v>8.5000597996593896</v>
      </c>
      <c r="P32" s="6">
        <f t="shared" si="5"/>
        <v>9.6193370510690102</v>
      </c>
      <c r="Q32" s="6">
        <f t="shared" si="12"/>
        <v>9.2553154334442613</v>
      </c>
      <c r="R32" s="14">
        <f t="shared" si="14"/>
        <v>4.1082874154465543E-3</v>
      </c>
      <c r="S32" s="6">
        <f t="shared" si="7"/>
        <v>11.09263708031073</v>
      </c>
      <c r="T32" s="6">
        <v>11.527517298053937</v>
      </c>
    </row>
    <row r="33" spans="1:20" x14ac:dyDescent="0.25">
      <c r="A33" s="3">
        <v>43525</v>
      </c>
      <c r="B33" s="6">
        <v>9.2668004179261008</v>
      </c>
      <c r="C33" s="6">
        <v>10.5627291985769</v>
      </c>
      <c r="D33" s="6">
        <v>8.2772168082139892</v>
      </c>
      <c r="E33" s="6">
        <v>9.4760256242955307</v>
      </c>
      <c r="F33" s="6">
        <v>6.7238078630164004</v>
      </c>
      <c r="G33" s="6">
        <v>7.2478536458587204</v>
      </c>
      <c r="H33" s="6">
        <v>6.3484778129868698</v>
      </c>
      <c r="I33" s="6">
        <v>6.9013648650694703</v>
      </c>
      <c r="J33" s="1">
        <f t="shared" si="1"/>
        <v>43525</v>
      </c>
      <c r="K33" s="6">
        <f t="shared" si="8"/>
        <v>9.2668004179261008</v>
      </c>
      <c r="L33" s="6">
        <f t="shared" si="9"/>
        <v>10.5627291985769</v>
      </c>
      <c r="M33" s="6">
        <f t="shared" si="2"/>
        <v>11.083909809226185</v>
      </c>
      <c r="N33" s="20">
        <f t="shared" si="10"/>
        <v>-1.5579588112121458E-2</v>
      </c>
      <c r="O33" s="6">
        <f t="shared" si="4"/>
        <v>8.2772168082139892</v>
      </c>
      <c r="P33" s="6">
        <f t="shared" si="5"/>
        <v>9.4760256242955307</v>
      </c>
      <c r="Q33" s="6">
        <f t="shared" si="12"/>
        <v>9.1450049242718556</v>
      </c>
      <c r="R33" s="14">
        <f t="shared" si="14"/>
        <v>-1.1918611522822432E-2</v>
      </c>
      <c r="S33" s="6">
        <f t="shared" si="7"/>
        <v>11.171617635788053</v>
      </c>
      <c r="T33" s="6">
        <v>11.520034319864859</v>
      </c>
    </row>
    <row r="34" spans="1:20" x14ac:dyDescent="0.25">
      <c r="A34" s="3">
        <v>43556</v>
      </c>
      <c r="B34" s="6">
        <v>9.8653427822170308</v>
      </c>
      <c r="C34" s="6">
        <v>11.4025837926904</v>
      </c>
      <c r="D34" s="6">
        <v>8.7681577620059592</v>
      </c>
      <c r="E34" s="6">
        <v>10.1716360593734</v>
      </c>
      <c r="F34" s="6">
        <v>6.7860448996000402</v>
      </c>
      <c r="G34" s="6">
        <v>7.3884028404448197</v>
      </c>
      <c r="H34" s="6">
        <v>6.3531980614484898</v>
      </c>
      <c r="I34" s="6">
        <v>6.9740636302213703</v>
      </c>
      <c r="J34" s="1">
        <f t="shared" si="1"/>
        <v>43556</v>
      </c>
      <c r="K34" s="6">
        <f t="shared" si="8"/>
        <v>9.8653427822170308</v>
      </c>
      <c r="L34" s="6">
        <f t="shared" si="9"/>
        <v>11.4025837926904</v>
      </c>
      <c r="M34" s="6">
        <f t="shared" si="2"/>
        <v>12.852723160996931</v>
      </c>
      <c r="N34" s="20">
        <f t="shared" si="10"/>
        <v>0.15958388170015564</v>
      </c>
      <c r="O34" s="6">
        <f t="shared" si="4"/>
        <v>8.7681577620059592</v>
      </c>
      <c r="P34" s="6">
        <f t="shared" si="5"/>
        <v>10.1716360593734</v>
      </c>
      <c r="Q34" s="6">
        <f t="shared" si="12"/>
        <v>9.6820537763013093</v>
      </c>
      <c r="R34" s="14">
        <f t="shared" si="14"/>
        <v>5.8725922673269086E-2</v>
      </c>
      <c r="S34" s="6">
        <f t="shared" si="7"/>
        <v>11.968316485111558</v>
      </c>
      <c r="T34" s="6">
        <v>12.220763038318539</v>
      </c>
    </row>
    <row r="35" spans="1:20" x14ac:dyDescent="0.25">
      <c r="A35" s="3">
        <v>43586</v>
      </c>
      <c r="B35" s="6">
        <v>10.019257537383499</v>
      </c>
      <c r="C35" s="6">
        <v>11.7399038297464</v>
      </c>
      <c r="D35" s="6">
        <v>8.8632188410666792</v>
      </c>
      <c r="E35" s="6">
        <v>10.408087410928101</v>
      </c>
      <c r="F35" s="6">
        <v>6.7626751141982098</v>
      </c>
      <c r="G35" s="6">
        <v>7.4427035713221503</v>
      </c>
      <c r="H35" s="6">
        <v>6.2811222515307303</v>
      </c>
      <c r="I35" s="6">
        <v>6.9618076800394002</v>
      </c>
      <c r="J35" s="1">
        <f t="shared" si="1"/>
        <v>43586</v>
      </c>
      <c r="K35" s="6">
        <f t="shared" si="8"/>
        <v>10.019257537383499</v>
      </c>
      <c r="L35" s="6">
        <f t="shared" si="9"/>
        <v>11.7399038297464</v>
      </c>
      <c r="M35" s="6">
        <f t="shared" si="2"/>
        <v>13.505826343968019</v>
      </c>
      <c r="N35" s="20">
        <f t="shared" si="10"/>
        <v>5.0814381885467344E-2</v>
      </c>
      <c r="O35" s="6">
        <f t="shared" si="4"/>
        <v>8.8632188410666792</v>
      </c>
      <c r="P35" s="6">
        <f t="shared" si="5"/>
        <v>10.408087410928101</v>
      </c>
      <c r="Q35" s="6">
        <f t="shared" si="12"/>
        <v>9.862110135995545</v>
      </c>
      <c r="R35" s="14">
        <f t="shared" si="14"/>
        <v>1.8596917952982042E-2</v>
      </c>
      <c r="S35" s="6">
        <f t="shared" si="7"/>
        <v>13.179274752482474</v>
      </c>
      <c r="T35" s="6">
        <v>12.947501112961648</v>
      </c>
    </row>
    <row r="36" spans="1:20" x14ac:dyDescent="0.25">
      <c r="A36" s="3">
        <v>43617</v>
      </c>
      <c r="B36" s="6">
        <v>9.9292669022408493</v>
      </c>
      <c r="C36" s="6">
        <v>11.7911389545216</v>
      </c>
      <c r="D36" s="6">
        <v>8.7400671927661104</v>
      </c>
      <c r="E36" s="6">
        <v>10.4075592905959</v>
      </c>
      <c r="F36" s="6">
        <v>6.6080181303421899</v>
      </c>
      <c r="G36" s="6">
        <v>7.3548193528845403</v>
      </c>
      <c r="H36" s="6">
        <v>6.0853479447271503</v>
      </c>
      <c r="I36" s="6">
        <v>6.8257163692482896</v>
      </c>
      <c r="J36" s="1">
        <f t="shared" si="1"/>
        <v>43617</v>
      </c>
      <c r="K36" s="6">
        <f t="shared" si="8"/>
        <v>9.9292669022408493</v>
      </c>
      <c r="L36" s="6">
        <f t="shared" si="9"/>
        <v>11.7911389545216</v>
      </c>
      <c r="M36" s="6">
        <f t="shared" si="2"/>
        <v>13.452904477865783</v>
      </c>
      <c r="N36" s="20">
        <f t="shared" si="10"/>
        <v>-3.918447102340572E-3</v>
      </c>
      <c r="O36" s="6">
        <f t="shared" si="4"/>
        <v>8.7400671927661104</v>
      </c>
      <c r="P36" s="6">
        <f t="shared" si="5"/>
        <v>10.4075592905959</v>
      </c>
      <c r="Q36" s="6">
        <f t="shared" si="12"/>
        <v>9.8617098026258816</v>
      </c>
      <c r="R36" s="14">
        <f t="shared" si="14"/>
        <v>-4.0593074316053192E-5</v>
      </c>
      <c r="S36" s="6">
        <f t="shared" si="7"/>
        <v>13.479365410916902</v>
      </c>
      <c r="T36" s="6">
        <v>13.503461989861805</v>
      </c>
    </row>
    <row r="37" spans="1:20" x14ac:dyDescent="0.25">
      <c r="A37" s="3">
        <v>43647</v>
      </c>
      <c r="B37" s="6">
        <v>10.237863278374601</v>
      </c>
      <c r="C37" s="6">
        <v>12.336002078425199</v>
      </c>
      <c r="D37" s="6">
        <v>8.9257439942529402</v>
      </c>
      <c r="E37" s="6">
        <v>10.767741328186499</v>
      </c>
      <c r="F37" s="6">
        <v>6.597447060496</v>
      </c>
      <c r="G37" s="6">
        <v>7.4248288971233203</v>
      </c>
      <c r="H37" s="6">
        <v>6.0326230772590304</v>
      </c>
      <c r="I37" s="6">
        <v>6.8359378555445698</v>
      </c>
      <c r="J37" s="1">
        <f t="shared" si="1"/>
        <v>43647</v>
      </c>
      <c r="K37" s="6">
        <f t="shared" si="8"/>
        <v>10.237863278374601</v>
      </c>
      <c r="L37" s="6">
        <f t="shared" si="9"/>
        <v>12.336002078425199</v>
      </c>
      <c r="M37" s="6">
        <f t="shared" si="2"/>
        <v>14.615834869313362</v>
      </c>
      <c r="N37" s="20">
        <f t="shared" si="10"/>
        <v>8.6444558746474567E-2</v>
      </c>
      <c r="O37" s="6">
        <f t="shared" si="4"/>
        <v>8.9257439942529402</v>
      </c>
      <c r="P37" s="6">
        <f t="shared" si="5"/>
        <v>10.767741328186499</v>
      </c>
      <c r="Q37" s="6">
        <f t="shared" si="12"/>
        <v>10.134742941840107</v>
      </c>
      <c r="R37" s="14">
        <f t="shared" si="14"/>
        <v>2.7686186744364072E-2</v>
      </c>
      <c r="S37" s="6">
        <f t="shared" si="7"/>
        <v>14.034369673589573</v>
      </c>
      <c r="T37" s="6">
        <v>14.416240546513741</v>
      </c>
    </row>
    <row r="38" spans="1:20" x14ac:dyDescent="0.25">
      <c r="A38" s="3">
        <v>43678</v>
      </c>
      <c r="B38" s="6">
        <v>10.496713784870799</v>
      </c>
      <c r="C38" s="6">
        <v>12.831329587719599</v>
      </c>
      <c r="D38" s="6">
        <v>9.0602477344629193</v>
      </c>
      <c r="E38" s="6">
        <v>11.0823528601757</v>
      </c>
      <c r="F38" s="6">
        <v>6.5494869163943497</v>
      </c>
      <c r="G38" s="6">
        <v>7.4564647867249096</v>
      </c>
      <c r="H38" s="6">
        <v>5.9430282859863297</v>
      </c>
      <c r="I38" s="6">
        <v>6.8120259271427797</v>
      </c>
      <c r="J38" s="1">
        <f t="shared" si="1"/>
        <v>43678</v>
      </c>
      <c r="K38" s="6">
        <f t="shared" si="8"/>
        <v>10.496713784870799</v>
      </c>
      <c r="L38" s="6">
        <f t="shared" si="9"/>
        <v>12.831329587719599</v>
      </c>
      <c r="M38" s="6">
        <f t="shared" si="2"/>
        <v>15.690106845627383</v>
      </c>
      <c r="N38" s="20">
        <f t="shared" si="10"/>
        <v>7.3500555111600641E-2</v>
      </c>
      <c r="O38" s="6">
        <f t="shared" si="4"/>
        <v>9.0602477344629193</v>
      </c>
      <c r="P38" s="6">
        <f t="shared" si="5"/>
        <v>11.0823528601757</v>
      </c>
      <c r="Q38" s="6">
        <f t="shared" si="12"/>
        <v>10.371636225663897</v>
      </c>
      <c r="R38" s="14">
        <f t="shared" si="14"/>
        <v>2.3374375174904927E-2</v>
      </c>
      <c r="S38" s="6">
        <f t="shared" si="7"/>
        <v>15.152970857470372</v>
      </c>
      <c r="T38" s="6">
        <v>14.921284363447892</v>
      </c>
    </row>
    <row r="39" spans="1:20" x14ac:dyDescent="0.25">
      <c r="A39" s="3">
        <v>43709</v>
      </c>
      <c r="B39" s="6">
        <v>10.6515460612162</v>
      </c>
      <c r="C39" s="6">
        <v>13.212528160011299</v>
      </c>
      <c r="D39" s="6">
        <v>9.1032230714108398</v>
      </c>
      <c r="E39" s="6">
        <v>11.2918805776991</v>
      </c>
      <c r="F39" s="6">
        <v>6.5620479149888196</v>
      </c>
      <c r="G39" s="6">
        <v>7.5561681126654303</v>
      </c>
      <c r="H39" s="6">
        <v>5.9098573046923697</v>
      </c>
      <c r="I39" s="6">
        <v>6.85057679408082</v>
      </c>
      <c r="J39" s="1">
        <f t="shared" si="1"/>
        <v>43709</v>
      </c>
      <c r="K39" s="6">
        <f t="shared" si="8"/>
        <v>10.6515460612162</v>
      </c>
      <c r="L39" s="6">
        <f t="shared" si="9"/>
        <v>13.212528160011299</v>
      </c>
      <c r="M39" s="6">
        <f t="shared" si="2"/>
        <v>16.48326547180735</v>
      </c>
      <c r="N39" s="20">
        <f t="shared" si="10"/>
        <v>5.05515121078354E-2</v>
      </c>
      <c r="O39" s="6">
        <f t="shared" si="4"/>
        <v>9.1032230714108398</v>
      </c>
      <c r="P39" s="6">
        <f t="shared" si="5"/>
        <v>11.2918805776991</v>
      </c>
      <c r="Q39" s="6">
        <f t="shared" si="12"/>
        <v>10.528508708810001</v>
      </c>
      <c r="R39" s="14">
        <f t="shared" si="14"/>
        <v>1.5125143201410653E-2</v>
      </c>
      <c r="S39" s="6">
        <f t="shared" si="7"/>
        <v>16.086686158717367</v>
      </c>
      <c r="T39" s="6">
        <v>14.820801545286686</v>
      </c>
    </row>
    <row r="40" spans="1:20" x14ac:dyDescent="0.25">
      <c r="A40" s="3">
        <v>43739</v>
      </c>
      <c r="B40" s="6">
        <v>10.69479387524</v>
      </c>
      <c r="C40" s="6">
        <v>13.451468040404601</v>
      </c>
      <c r="D40" s="6">
        <v>9.1159197600179507</v>
      </c>
      <c r="E40" s="6">
        <v>11.4738727438481</v>
      </c>
      <c r="F40" s="6">
        <v>6.4400126079801998</v>
      </c>
      <c r="G40" s="6">
        <v>7.5327849490638599</v>
      </c>
      <c r="H40" s="6">
        <v>5.74951774717593</v>
      </c>
      <c r="I40" s="6">
        <v>6.7761730066105201</v>
      </c>
      <c r="J40" s="1">
        <f t="shared" si="1"/>
        <v>43739</v>
      </c>
      <c r="K40" s="6">
        <f t="shared" si="8"/>
        <v>10.69479387524</v>
      </c>
      <c r="L40" s="6">
        <f t="shared" si="9"/>
        <v>13.451468040404601</v>
      </c>
      <c r="M40" s="6">
        <f t="shared" si="2"/>
        <v>16.912070050649845</v>
      </c>
      <c r="N40" s="20">
        <f t="shared" si="10"/>
        <v>2.6014540600338878E-2</v>
      </c>
      <c r="O40" s="6">
        <f t="shared" si="4"/>
        <v>9.1159197600179507</v>
      </c>
      <c r="P40" s="6">
        <f t="shared" si="5"/>
        <v>11.4738727438481</v>
      </c>
      <c r="Q40" s="6">
        <f t="shared" si="12"/>
        <v>10.664259780072243</v>
      </c>
      <c r="R40" s="14">
        <f t="shared" si="14"/>
        <v>1.289366566688095E-2</v>
      </c>
      <c r="S40" s="6">
        <f t="shared" si="7"/>
        <v>16.697667761228598</v>
      </c>
      <c r="T40" s="6">
        <v>15.26458253876984</v>
      </c>
    </row>
    <row r="41" spans="1:20" x14ac:dyDescent="0.25">
      <c r="A41" s="3">
        <v>43770</v>
      </c>
      <c r="B41" s="6">
        <v>10.347632736805201</v>
      </c>
      <c r="C41" s="6">
        <v>13.1983149314075</v>
      </c>
      <c r="D41" s="6">
        <v>8.7967411740685097</v>
      </c>
      <c r="E41" s="6">
        <v>11.2401108226003</v>
      </c>
      <c r="F41" s="6">
        <v>6.1632398204475596</v>
      </c>
      <c r="G41" s="6">
        <v>7.3133622675958296</v>
      </c>
      <c r="H41" s="6">
        <v>5.4548948498527503</v>
      </c>
      <c r="I41" s="6">
        <v>6.5313643708945301</v>
      </c>
      <c r="J41" s="1">
        <f t="shared" si="1"/>
        <v>43770</v>
      </c>
      <c r="K41" s="6">
        <f t="shared" si="8"/>
        <v>10.347632736805201</v>
      </c>
      <c r="L41" s="6">
        <f t="shared" si="9"/>
        <v>13.1983149314075</v>
      </c>
      <c r="M41" s="6">
        <f t="shared" si="2"/>
        <v>15.987056290384714</v>
      </c>
      <c r="N41" s="20">
        <f t="shared" si="10"/>
        <v>-5.4695478288276547E-2</v>
      </c>
      <c r="O41" s="6">
        <f t="shared" si="4"/>
        <v>8.7967411740685097</v>
      </c>
      <c r="P41" s="6">
        <f t="shared" si="5"/>
        <v>11.2401108226003</v>
      </c>
      <c r="Q41" s="6">
        <f t="shared" si="12"/>
        <v>10.490445904982026</v>
      </c>
      <c r="R41" s="14">
        <f t="shared" si="14"/>
        <v>-1.6298728526382433E-2</v>
      </c>
      <c r="S41" s="6">
        <f t="shared" si="7"/>
        <v>16.44956317051728</v>
      </c>
      <c r="T41" s="6">
        <v>15.352903757114145</v>
      </c>
    </row>
    <row r="42" spans="1:20" x14ac:dyDescent="0.25">
      <c r="A42" s="3">
        <v>43800</v>
      </c>
      <c r="B42" s="6">
        <v>10.0830331521527</v>
      </c>
      <c r="C42" s="6">
        <v>13.050574032322301</v>
      </c>
      <c r="D42" s="6">
        <v>8.5490438110217504</v>
      </c>
      <c r="E42" s="6">
        <v>11.083719327481999</v>
      </c>
      <c r="F42" s="6">
        <v>5.9023722012559299</v>
      </c>
      <c r="G42" s="6">
        <v>7.1141794717349303</v>
      </c>
      <c r="H42" s="6">
        <v>5.1809017650486702</v>
      </c>
      <c r="I42" s="6">
        <v>6.3010631767282996</v>
      </c>
      <c r="J42" s="1">
        <f t="shared" si="1"/>
        <v>43800</v>
      </c>
      <c r="K42" s="6">
        <f t="shared" si="8"/>
        <v>10.0830331521527</v>
      </c>
      <c r="L42" s="6">
        <f t="shared" si="9"/>
        <v>13.050574032322301</v>
      </c>
      <c r="M42" s="6">
        <f t="shared" si="2"/>
        <v>15.37112681675046</v>
      </c>
      <c r="N42" s="20">
        <f t="shared" si="10"/>
        <v>-3.8526759551394132E-2</v>
      </c>
      <c r="O42" s="6">
        <f t="shared" si="4"/>
        <v>8.5490438110217504</v>
      </c>
      <c r="P42" s="6">
        <f t="shared" si="5"/>
        <v>11.083719327481999</v>
      </c>
      <c r="Q42" s="6">
        <f t="shared" si="12"/>
        <v>10.373677197240173</v>
      </c>
      <c r="R42" s="14">
        <f t="shared" si="14"/>
        <v>-1.1130957520728214E-2</v>
      </c>
      <c r="S42" s="6">
        <f t="shared" si="7"/>
        <v>15.679091553567588</v>
      </c>
      <c r="T42" s="6">
        <v>14.867153708578776</v>
      </c>
    </row>
    <row r="43" spans="1:20" x14ac:dyDescent="0.25">
      <c r="A43" s="3">
        <v>43831</v>
      </c>
      <c r="B43" s="6">
        <v>10.213712390647901</v>
      </c>
      <c r="C43" s="6">
        <v>13.4249992192901</v>
      </c>
      <c r="D43" s="6">
        <v>8.6861623320936197</v>
      </c>
      <c r="E43" s="6">
        <v>11.4210088307003</v>
      </c>
      <c r="F43" s="6">
        <v>5.8668816612718198</v>
      </c>
      <c r="G43" s="6">
        <v>7.1721789122783699</v>
      </c>
      <c r="H43" s="6">
        <v>5.1270383656103897</v>
      </c>
      <c r="I43" s="6">
        <v>6.3153849922546703</v>
      </c>
      <c r="J43" s="1">
        <f t="shared" si="1"/>
        <v>43831</v>
      </c>
      <c r="K43" s="6">
        <f t="shared" ref="K43:K54" si="15">IF(K$3=1,K42*(1+N43),B43)</f>
        <v>10.213712390647901</v>
      </c>
      <c r="L43" s="6">
        <f t="shared" ref="L43:L54" si="16">IF(L$3=1,L42*(1+$N43),C43)</f>
        <v>13.4249992192901</v>
      </c>
      <c r="M43" s="6">
        <f t="shared" ref="M43:M54" si="17">IF(M$3=1,M42*(1+$N43),AVERAGE(B43:C43))</f>
        <v>15.572496818002252</v>
      </c>
      <c r="N43" s="17">
        <f>IF(K$3=1,(B43/B42)-1,IF(L$3=1,(C43/C42)-1,(AVERAGE(B43:C43)/AVERAGE(B42:C42)-1)))*(1+N$3)</f>
        <v>1.3100536066903822E-2</v>
      </c>
      <c r="O43" s="6">
        <f t="shared" ref="O43:P54" si="18">IF(O$3=1,O42*(1+$R43),D43)</f>
        <v>8.6861623320936197</v>
      </c>
      <c r="P43" s="6">
        <f t="shared" si="18"/>
        <v>11.4210088307003</v>
      </c>
      <c r="Q43" s="6">
        <f t="shared" ref="Q43:Q54" si="19">IF(Q$3=1,Q42*(1+$R43),AVERAGE(D43:E43))</f>
        <v>10.626222923094387</v>
      </c>
      <c r="R43" s="14">
        <f t="shared" si="14"/>
        <v>2.4344860655718215E-2</v>
      </c>
      <c r="S43" s="6">
        <f t="shared" si="7"/>
        <v>15.471811817376356</v>
      </c>
      <c r="T43" s="6">
        <v>14.773984204105702</v>
      </c>
    </row>
    <row r="44" spans="1:20" x14ac:dyDescent="0.25">
      <c r="A44" s="3">
        <v>43862</v>
      </c>
      <c r="B44" s="6">
        <v>10.277631577054301</v>
      </c>
      <c r="C44" s="6">
        <v>13.712510981556999</v>
      </c>
      <c r="D44" s="6">
        <v>8.7661950706422207</v>
      </c>
      <c r="E44" s="6">
        <v>11.6997213518645</v>
      </c>
      <c r="F44" s="6">
        <v>5.76312014316684</v>
      </c>
      <c r="G44" s="6">
        <v>7.1561456840427997</v>
      </c>
      <c r="H44" s="6">
        <v>5.0135576467087297</v>
      </c>
      <c r="I44" s="6">
        <v>6.2746742719072204</v>
      </c>
      <c r="J44" s="1">
        <f t="shared" si="1"/>
        <v>43862</v>
      </c>
      <c r="K44" s="6">
        <f t="shared" si="15"/>
        <v>10.277631577054301</v>
      </c>
      <c r="L44" s="6">
        <f t="shared" si="16"/>
        <v>13.712510981556999</v>
      </c>
      <c r="M44" s="6">
        <f t="shared" si="17"/>
        <v>15.711404320752829</v>
      </c>
      <c r="N44" s="17">
        <f t="shared" ref="N44:N54" si="20">IF(K$3=1,(B44/B43)-1,IF(L$3=1,(C44/C43)-1,(AVERAGE(B44:C44)/AVERAGE(B43:C43)-1)))*(1+N$3)</f>
        <v>8.9200533719161704E-3</v>
      </c>
      <c r="O44" s="6">
        <f t="shared" si="18"/>
        <v>8.7661950706422207</v>
      </c>
      <c r="P44" s="6">
        <f t="shared" si="18"/>
        <v>11.6997213518645</v>
      </c>
      <c r="Q44" s="6">
        <f t="shared" si="19"/>
        <v>10.833676497485284</v>
      </c>
      <c r="R44" s="14">
        <f t="shared" si="14"/>
        <v>1.95227952483501E-2</v>
      </c>
      <c r="S44" s="6">
        <f t="shared" si="7"/>
        <v>15.64195056937754</v>
      </c>
      <c r="T44" s="6">
        <v>14.322073197504935</v>
      </c>
    </row>
    <row r="45" spans="1:20" x14ac:dyDescent="0.25">
      <c r="A45" s="3">
        <v>43891</v>
      </c>
      <c r="B45" s="6">
        <v>10.1269420828355</v>
      </c>
      <c r="C45" s="6">
        <v>13.718721269967199</v>
      </c>
      <c r="D45" s="6">
        <v>8.6611189429848299</v>
      </c>
      <c r="E45" s="6">
        <v>11.7331826619072</v>
      </c>
      <c r="F45" s="6">
        <v>5.6460642959090501</v>
      </c>
      <c r="G45" s="6">
        <v>7.1217157017925299</v>
      </c>
      <c r="H45" s="6">
        <v>4.8936017742167497</v>
      </c>
      <c r="I45" s="6">
        <v>6.2202168765203201</v>
      </c>
      <c r="J45" s="1">
        <f t="shared" si="1"/>
        <v>43891</v>
      </c>
      <c r="K45" s="6">
        <f t="shared" si="15"/>
        <v>10.1269420828355</v>
      </c>
      <c r="L45" s="6">
        <f t="shared" si="16"/>
        <v>13.718721269967199</v>
      </c>
      <c r="M45" s="6">
        <f t="shared" si="17"/>
        <v>15.654631722269405</v>
      </c>
      <c r="N45" s="17">
        <f t="shared" si="20"/>
        <v>-3.6134642915676804E-3</v>
      </c>
      <c r="O45" s="6">
        <f t="shared" si="18"/>
        <v>8.6611189429848299</v>
      </c>
      <c r="P45" s="6">
        <f t="shared" si="18"/>
        <v>11.7331826619072</v>
      </c>
      <c r="Q45" s="6">
        <f t="shared" si="19"/>
        <v>10.85846402855768</v>
      </c>
      <c r="R45" s="14">
        <f t="shared" si="14"/>
        <v>2.2880073147975469E-3</v>
      </c>
      <c r="S45" s="6">
        <f t="shared" si="7"/>
        <v>15.683018021511117</v>
      </c>
      <c r="T45" s="6">
        <v>13.935454340115408</v>
      </c>
    </row>
    <row r="46" spans="1:20" x14ac:dyDescent="0.25">
      <c r="A46" s="3">
        <v>43922</v>
      </c>
      <c r="B46" s="6">
        <v>10.761683725872899</v>
      </c>
      <c r="C46" s="6">
        <v>14.8337584037283</v>
      </c>
      <c r="D46" s="6">
        <v>9.2943802407257703</v>
      </c>
      <c r="E46" s="6">
        <v>12.804584907028699</v>
      </c>
      <c r="F46" s="6">
        <v>5.6978268676985797</v>
      </c>
      <c r="G46" s="6">
        <v>7.2980907521835396</v>
      </c>
      <c r="H46" s="6">
        <v>4.9630669992753802</v>
      </c>
      <c r="I46" s="6">
        <v>6.3948389798019099</v>
      </c>
      <c r="J46" s="1">
        <f t="shared" si="1"/>
        <v>43922</v>
      </c>
      <c r="K46" s="6">
        <f t="shared" si="15"/>
        <v>10.761683725872899</v>
      </c>
      <c r="L46" s="6">
        <f t="shared" si="16"/>
        <v>14.8337584037283</v>
      </c>
      <c r="M46" s="6">
        <f t="shared" si="17"/>
        <v>16.343867545344228</v>
      </c>
      <c r="N46" s="17">
        <f t="shared" si="20"/>
        <v>4.4027597410315075E-2</v>
      </c>
      <c r="O46" s="6">
        <f t="shared" si="18"/>
        <v>9.2943802407257703</v>
      </c>
      <c r="P46" s="6">
        <f t="shared" si="18"/>
        <v>12.804584907028699</v>
      </c>
      <c r="Q46" s="6">
        <f t="shared" si="19"/>
        <v>11.651686674040757</v>
      </c>
      <c r="R46" s="14">
        <f t="shared" si="14"/>
        <v>7.3051091148518488E-2</v>
      </c>
      <c r="S46" s="6">
        <f t="shared" si="7"/>
        <v>15.999249633806816</v>
      </c>
      <c r="T46" s="6">
        <v>14.356651817580072</v>
      </c>
    </row>
    <row r="47" spans="1:20" x14ac:dyDescent="0.25">
      <c r="A47" s="3">
        <v>43952</v>
      </c>
      <c r="B47" s="6">
        <v>10.9130632675865</v>
      </c>
      <c r="C47" s="6">
        <v>15.3057562469763</v>
      </c>
      <c r="D47" s="6">
        <v>9.5135935656104103</v>
      </c>
      <c r="E47" s="6">
        <v>13.3249549961083</v>
      </c>
      <c r="F47" s="6">
        <v>5.6773684232354</v>
      </c>
      <c r="G47" s="6">
        <v>7.3874740431936496</v>
      </c>
      <c r="H47" s="6">
        <v>4.9705753132314001</v>
      </c>
      <c r="I47" s="6">
        <v>6.4946946114665103</v>
      </c>
      <c r="J47" s="1">
        <f t="shared" si="1"/>
        <v>43952</v>
      </c>
      <c r="K47" s="6">
        <f t="shared" si="15"/>
        <v>10.9130632675865</v>
      </c>
      <c r="L47" s="6">
        <f t="shared" si="16"/>
        <v>15.3057562469763</v>
      </c>
      <c r="M47" s="6">
        <f t="shared" si="17"/>
        <v>16.582700631930201</v>
      </c>
      <c r="N47" s="17">
        <f t="shared" si="20"/>
        <v>1.4613009186678426E-2</v>
      </c>
      <c r="O47" s="6">
        <f t="shared" si="18"/>
        <v>9.5135935656104103</v>
      </c>
      <c r="P47" s="6">
        <f t="shared" si="18"/>
        <v>13.3249549961083</v>
      </c>
      <c r="Q47" s="6">
        <f t="shared" si="19"/>
        <v>12.030500311594597</v>
      </c>
      <c r="R47" s="14">
        <f t="shared" si="14"/>
        <v>3.2511485088061502E-2</v>
      </c>
      <c r="S47" s="6">
        <f t="shared" si="7"/>
        <v>16.463284088637216</v>
      </c>
      <c r="T47" s="6">
        <v>14.727723906079284</v>
      </c>
    </row>
    <row r="48" spans="1:20" x14ac:dyDescent="0.25">
      <c r="A48" s="3">
        <v>43983</v>
      </c>
      <c r="B48" s="6">
        <v>10.7956263785826</v>
      </c>
      <c r="C48" s="6">
        <v>15.399736953344201</v>
      </c>
      <c r="D48" s="6">
        <v>9.5036471038034804</v>
      </c>
      <c r="E48" s="6">
        <v>13.541776560395499</v>
      </c>
      <c r="F48" s="6">
        <v>5.5470460981656604</v>
      </c>
      <c r="G48" s="6">
        <v>7.3346611538876596</v>
      </c>
      <c r="H48" s="6">
        <v>4.8803790241645499</v>
      </c>
      <c r="I48" s="6">
        <v>6.4748674860747801</v>
      </c>
      <c r="J48" s="1">
        <f t="shared" si="1"/>
        <v>43983</v>
      </c>
      <c r="K48" s="6">
        <f t="shared" si="15"/>
        <v>10.7956263785826</v>
      </c>
      <c r="L48" s="6">
        <f t="shared" si="16"/>
        <v>15.399736953344201</v>
      </c>
      <c r="M48" s="6">
        <f t="shared" si="17"/>
        <v>16.573799387820308</v>
      </c>
      <c r="N48" s="17">
        <f t="shared" si="20"/>
        <v>-5.3677891843233454E-4</v>
      </c>
      <c r="O48" s="6">
        <f t="shared" si="18"/>
        <v>9.5036471038034804</v>
      </c>
      <c r="P48" s="6">
        <f t="shared" si="18"/>
        <v>13.541776560395499</v>
      </c>
      <c r="Q48" s="6">
        <f t="shared" si="19"/>
        <v>12.187107033192047</v>
      </c>
      <c r="R48" s="14">
        <f t="shared" si="14"/>
        <v>1.3017473716077888E-2</v>
      </c>
      <c r="S48" s="6">
        <f t="shared" si="7"/>
        <v>16.578250009875255</v>
      </c>
      <c r="T48" s="6">
        <v>14.876295008533138</v>
      </c>
    </row>
    <row r="49" spans="1:26" x14ac:dyDescent="0.25">
      <c r="A49" s="3">
        <v>44013</v>
      </c>
      <c r="B49" s="6">
        <v>11.112062409821</v>
      </c>
      <c r="C49" s="6">
        <v>16.1393572371361</v>
      </c>
      <c r="D49" s="6">
        <v>9.8265539157609396</v>
      </c>
      <c r="E49" s="6">
        <v>14.245399915377099</v>
      </c>
      <c r="F49" s="6">
        <v>5.5306474899667997</v>
      </c>
      <c r="G49" s="6">
        <v>7.4302792277407104</v>
      </c>
      <c r="H49" s="6">
        <v>4.9241587456776896</v>
      </c>
      <c r="I49" s="6">
        <v>6.6252428715231799</v>
      </c>
      <c r="J49" s="1">
        <f t="shared" si="1"/>
        <v>44013</v>
      </c>
      <c r="K49" s="6">
        <f t="shared" si="15"/>
        <v>11.112062409821</v>
      </c>
      <c r="L49" s="6">
        <f t="shared" si="16"/>
        <v>16.1393572371361</v>
      </c>
      <c r="M49" s="6">
        <f t="shared" si="17"/>
        <v>16.974699316997178</v>
      </c>
      <c r="N49" s="17">
        <f t="shared" si="20"/>
        <v>2.4188776501752551E-2</v>
      </c>
      <c r="O49" s="6">
        <f t="shared" si="18"/>
        <v>9.8265539157609396</v>
      </c>
      <c r="P49" s="6">
        <f t="shared" si="18"/>
        <v>14.245399915377099</v>
      </c>
      <c r="Q49" s="6">
        <f t="shared" si="19"/>
        <v>12.693695402891983</v>
      </c>
      <c r="R49" s="14">
        <f t="shared" si="14"/>
        <v>4.1567565487053142E-2</v>
      </c>
      <c r="S49" s="6">
        <f t="shared" si="7"/>
        <v>16.774249352408745</v>
      </c>
      <c r="T49" s="6">
        <v>15.431475648388687</v>
      </c>
    </row>
    <row r="50" spans="1:26" x14ac:dyDescent="0.25">
      <c r="A50" s="3">
        <v>44044</v>
      </c>
      <c r="B50" s="6">
        <v>11.370245104317201</v>
      </c>
      <c r="C50" s="6">
        <v>16.810229135858801</v>
      </c>
      <c r="D50" s="6">
        <v>10.1031674008686</v>
      </c>
      <c r="E50" s="6">
        <v>14.905551269562601</v>
      </c>
      <c r="F50" s="6">
        <v>5.4830997555065197</v>
      </c>
      <c r="G50" s="6">
        <v>7.4868134182778103</v>
      </c>
      <c r="H50" s="6">
        <v>4.9402238296455296</v>
      </c>
      <c r="I50" s="6">
        <v>6.7463035970013099</v>
      </c>
      <c r="J50" s="1">
        <f t="shared" si="1"/>
        <v>44044</v>
      </c>
      <c r="K50" s="6">
        <f t="shared" si="15"/>
        <v>11.370245104317201</v>
      </c>
      <c r="L50" s="6">
        <f t="shared" si="16"/>
        <v>16.810229135858801</v>
      </c>
      <c r="M50" s="6">
        <f t="shared" si="17"/>
        <v>17.321919885465292</v>
      </c>
      <c r="N50" s="17">
        <f t="shared" si="20"/>
        <v>2.0455182267672668E-2</v>
      </c>
      <c r="O50" s="6">
        <f t="shared" si="18"/>
        <v>10.1031674008686</v>
      </c>
      <c r="P50" s="6">
        <f t="shared" si="18"/>
        <v>14.905551269562601</v>
      </c>
      <c r="Q50" s="6">
        <f t="shared" si="19"/>
        <v>13.164289995370469</v>
      </c>
      <c r="R50" s="14">
        <f t="shared" si="14"/>
        <v>3.7073096331842768E-2</v>
      </c>
      <c r="S50" s="6">
        <f t="shared" si="7"/>
        <v>17.148309601231233</v>
      </c>
      <c r="T50" s="6">
        <v>15.597109834426377</v>
      </c>
    </row>
    <row r="51" spans="1:26" x14ac:dyDescent="0.25">
      <c r="A51" s="3">
        <v>44075</v>
      </c>
      <c r="B51" s="6">
        <v>11.517246155518301</v>
      </c>
      <c r="C51" s="6">
        <v>17.3367218929356</v>
      </c>
      <c r="D51" s="6">
        <v>10.281898741313601</v>
      </c>
      <c r="E51" s="6">
        <v>15.4410666489311</v>
      </c>
      <c r="F51" s="6">
        <v>5.4859359361999802</v>
      </c>
      <c r="G51" s="6">
        <v>7.6114497656206597</v>
      </c>
      <c r="H51" s="6">
        <v>5.0029803655501999</v>
      </c>
      <c r="I51" s="6">
        <v>6.9339006986762302</v>
      </c>
      <c r="J51" s="1">
        <f t="shared" si="1"/>
        <v>44075</v>
      </c>
      <c r="K51" s="6">
        <f t="shared" si="15"/>
        <v>11.517246155518301</v>
      </c>
      <c r="L51" s="6">
        <f t="shared" si="16"/>
        <v>17.3367218929356</v>
      </c>
      <c r="M51" s="6">
        <f t="shared" si="17"/>
        <v>17.570309015277331</v>
      </c>
      <c r="N51" s="17">
        <f t="shared" si="20"/>
        <v>1.433958426400892E-2</v>
      </c>
      <c r="O51" s="6">
        <f t="shared" si="18"/>
        <v>10.281898741313601</v>
      </c>
      <c r="P51" s="6">
        <f t="shared" si="18"/>
        <v>15.4410666489311</v>
      </c>
      <c r="Q51" s="6">
        <f t="shared" si="19"/>
        <v>13.542655323750283</v>
      </c>
      <c r="R51" s="14">
        <f t="shared" si="14"/>
        <v>2.8741795304788556E-2</v>
      </c>
      <c r="S51" s="6">
        <f t="shared" si="7"/>
        <v>17.446114450371311</v>
      </c>
      <c r="T51" s="6">
        <v>15.131316016035704</v>
      </c>
    </row>
    <row r="52" spans="1:26" x14ac:dyDescent="0.25">
      <c r="A52" s="3">
        <v>44105</v>
      </c>
      <c r="B52" s="6">
        <v>11.685273705974</v>
      </c>
      <c r="C52" s="6">
        <v>17.9062619255307</v>
      </c>
      <c r="D52" s="6">
        <v>10.503392663356401</v>
      </c>
      <c r="E52" s="6">
        <v>16.058532028831898</v>
      </c>
      <c r="F52" s="6">
        <v>5.37796326097261</v>
      </c>
      <c r="G52" s="6">
        <v>7.6072988838167301</v>
      </c>
      <c r="H52" s="6">
        <v>4.9666530794623904</v>
      </c>
      <c r="I52" s="6">
        <v>7.0129835777693597</v>
      </c>
      <c r="J52" s="1">
        <f t="shared" si="1"/>
        <v>44105</v>
      </c>
      <c r="K52" s="6">
        <f t="shared" si="15"/>
        <v>11.685273705974</v>
      </c>
      <c r="L52" s="6">
        <f t="shared" si="16"/>
        <v>17.9062619255307</v>
      </c>
      <c r="M52" s="6">
        <f t="shared" si="17"/>
        <v>17.839789254503177</v>
      </c>
      <c r="N52" s="17">
        <f t="shared" si="20"/>
        <v>1.5337250983550231E-2</v>
      </c>
      <c r="O52" s="6">
        <f t="shared" si="18"/>
        <v>10.503392663356401</v>
      </c>
      <c r="P52" s="6">
        <f t="shared" si="18"/>
        <v>16.058532028831898</v>
      </c>
      <c r="Q52" s="6">
        <f t="shared" si="19"/>
        <v>13.975895902498717</v>
      </c>
      <c r="R52" s="14">
        <f t="shared" si="14"/>
        <v>3.1990814828510142E-2</v>
      </c>
      <c r="S52" s="6">
        <f t="shared" si="7"/>
        <v>17.705049134890253</v>
      </c>
      <c r="T52" s="6">
        <v>15.297214867624739</v>
      </c>
    </row>
    <row r="53" spans="1:26" x14ac:dyDescent="0.25">
      <c r="A53" s="3">
        <v>44136</v>
      </c>
      <c r="B53" s="6">
        <v>11.428260300770599</v>
      </c>
      <c r="C53" s="6">
        <v>17.827386988166701</v>
      </c>
      <c r="D53" s="6">
        <v>10.346423664151301</v>
      </c>
      <c r="E53" s="6">
        <v>16.106206150099201</v>
      </c>
      <c r="F53" s="6">
        <v>5.1415803526575496</v>
      </c>
      <c r="G53" s="6">
        <v>7.4079684460280397</v>
      </c>
      <c r="H53" s="6">
        <v>4.8116284052275402</v>
      </c>
      <c r="I53" s="6">
        <v>6.9156081891015502</v>
      </c>
      <c r="J53" s="1">
        <f t="shared" si="1"/>
        <v>44136</v>
      </c>
      <c r="K53" s="6">
        <f t="shared" si="15"/>
        <v>11.428260300770599</v>
      </c>
      <c r="L53" s="6">
        <f t="shared" si="16"/>
        <v>17.827386988166701</v>
      </c>
      <c r="M53" s="6">
        <f t="shared" si="17"/>
        <v>17.71829145893625</v>
      </c>
      <c r="N53" s="17">
        <f t="shared" si="20"/>
        <v>-6.8104950026951494E-3</v>
      </c>
      <c r="O53" s="6">
        <f t="shared" si="18"/>
        <v>10.346423664151301</v>
      </c>
      <c r="P53" s="6">
        <f t="shared" si="18"/>
        <v>16.106206150099201</v>
      </c>
      <c r="Q53" s="6">
        <f t="shared" si="19"/>
        <v>14.009088901952397</v>
      </c>
      <c r="R53" s="14">
        <f t="shared" si="14"/>
        <v>2.3750176507643774E-3</v>
      </c>
      <c r="S53" s="6">
        <f t="shared" si="7"/>
        <v>17.779040356719712</v>
      </c>
      <c r="T53" s="6">
        <v>15.199279997411946</v>
      </c>
    </row>
    <row r="54" spans="1:26" x14ac:dyDescent="0.25">
      <c r="A54" s="3">
        <v>44166</v>
      </c>
      <c r="B54" s="6">
        <v>11.252804770345801</v>
      </c>
      <c r="C54" s="6">
        <v>17.881405197741898</v>
      </c>
      <c r="D54" s="6">
        <v>10.257392096874099</v>
      </c>
      <c r="E54" s="6">
        <v>16.2605360586046</v>
      </c>
      <c r="F54" s="6">
        <v>4.91881251483104</v>
      </c>
      <c r="G54" s="6">
        <v>7.2255651012104298</v>
      </c>
      <c r="H54" s="6">
        <v>4.6632817677447704</v>
      </c>
      <c r="I54" s="6">
        <v>6.8260689001387904</v>
      </c>
      <c r="J54" s="1">
        <f t="shared" si="1"/>
        <v>44166</v>
      </c>
      <c r="K54" s="6">
        <f t="shared" si="15"/>
        <v>11.252804770345801</v>
      </c>
      <c r="L54" s="6">
        <f t="shared" si="16"/>
        <v>17.881405197741898</v>
      </c>
      <c r="M54" s="6">
        <f t="shared" si="17"/>
        <v>17.67416332551527</v>
      </c>
      <c r="N54" s="17">
        <f t="shared" si="20"/>
        <v>-2.4905411181010526E-3</v>
      </c>
      <c r="O54" s="6">
        <f t="shared" si="18"/>
        <v>10.257392096874099</v>
      </c>
      <c r="P54" s="6">
        <f t="shared" si="18"/>
        <v>16.2605360586046</v>
      </c>
      <c r="Q54" s="6">
        <f t="shared" si="19"/>
        <v>14.116477141657452</v>
      </c>
      <c r="R54" s="14">
        <f t="shared" si="14"/>
        <v>7.6656119792406947E-3</v>
      </c>
      <c r="S54" s="6">
        <f t="shared" si="7"/>
        <v>17.696227392225758</v>
      </c>
      <c r="T54" s="6">
        <v>14.549248192532961</v>
      </c>
    </row>
    <row r="55" spans="1:26" x14ac:dyDescent="0.25">
      <c r="J55" s="1"/>
    </row>
    <row r="56" spans="1:26" x14ac:dyDescent="0.25">
      <c r="B56" t="s">
        <v>53</v>
      </c>
      <c r="C56" t="s">
        <v>54</v>
      </c>
      <c r="D56" t="s">
        <v>55</v>
      </c>
      <c r="K56" s="8">
        <v>42795</v>
      </c>
      <c r="L56" s="8">
        <v>42887</v>
      </c>
      <c r="M56" s="8">
        <v>42979</v>
      </c>
      <c r="N56" s="8">
        <v>43070</v>
      </c>
      <c r="O56" s="8">
        <v>43160</v>
      </c>
      <c r="P56" s="8">
        <v>43252</v>
      </c>
      <c r="Q56" s="8">
        <v>43344</v>
      </c>
      <c r="R56" s="8">
        <v>43435</v>
      </c>
      <c r="S56" s="8">
        <v>43525</v>
      </c>
      <c r="T56" s="8">
        <v>43617</v>
      </c>
      <c r="U56" s="8">
        <v>43709</v>
      </c>
      <c r="V56" s="8">
        <v>43800</v>
      </c>
      <c r="W56" s="8">
        <v>43891</v>
      </c>
      <c r="X56" s="8">
        <v>43983</v>
      </c>
      <c r="Y56" s="8">
        <v>44075</v>
      </c>
      <c r="Z56" s="8">
        <v>44166</v>
      </c>
    </row>
    <row r="57" spans="1:26" x14ac:dyDescent="0.25">
      <c r="A57" s="13">
        <v>1</v>
      </c>
      <c r="B57" s="6">
        <v>2.3636820118352002</v>
      </c>
      <c r="C57" s="6">
        <v>2.36646858743419</v>
      </c>
      <c r="D57" s="6">
        <v>2.21491838176394</v>
      </c>
      <c r="J57" s="9" t="s">
        <v>48</v>
      </c>
      <c r="K57" s="7">
        <f>VLOOKUP(K$56,$J$7:$R$54,5,0)</f>
        <v>-9.443574651018527E-3</v>
      </c>
      <c r="L57" s="7">
        <f t="shared" ref="L57:Z57" si="21">VLOOKUP(L$56,$J$7:$R$54,5,0)</f>
        <v>2.1946415048137213E-2</v>
      </c>
      <c r="M57" s="7">
        <f t="shared" si="21"/>
        <v>1.7863292675356136E-3</v>
      </c>
      <c r="N57" s="7">
        <f t="shared" si="21"/>
        <v>-2.8760723426626434E-2</v>
      </c>
      <c r="O57" s="7">
        <f t="shared" si="21"/>
        <v>-2.730314793058073E-2</v>
      </c>
      <c r="P57" s="7">
        <f t="shared" si="21"/>
        <v>-1.5508294188162131E-3</v>
      </c>
      <c r="Q57" s="7">
        <f t="shared" si="21"/>
        <v>2.5520034997929434E-2</v>
      </c>
      <c r="R57" s="7">
        <f t="shared" si="21"/>
        <v>-5.1035526168402151E-2</v>
      </c>
      <c r="S57" s="7">
        <f t="shared" si="21"/>
        <v>-1.5579588112121458E-2</v>
      </c>
      <c r="T57" s="7">
        <f t="shared" si="21"/>
        <v>-3.918447102340572E-3</v>
      </c>
      <c r="U57" s="7">
        <f t="shared" si="21"/>
        <v>5.05515121078354E-2</v>
      </c>
      <c r="V57" s="7">
        <f t="shared" si="21"/>
        <v>-3.8526759551394132E-2</v>
      </c>
      <c r="W57" s="7">
        <f t="shared" si="21"/>
        <v>-3.6134642915676804E-3</v>
      </c>
      <c r="X57" s="7">
        <f t="shared" si="21"/>
        <v>-5.3677891843233454E-4</v>
      </c>
      <c r="Y57" s="7">
        <f t="shared" si="21"/>
        <v>1.433958426400892E-2</v>
      </c>
      <c r="Z57" s="7">
        <f t="shared" si="21"/>
        <v>-2.4905411181010526E-3</v>
      </c>
    </row>
    <row r="58" spans="1:26" x14ac:dyDescent="0.25">
      <c r="A58" s="13">
        <v>2</v>
      </c>
      <c r="B58" s="6">
        <v>2.32964942821918</v>
      </c>
      <c r="C58" s="6">
        <v>2.3345448125586499</v>
      </c>
      <c r="D58" s="6">
        <v>2.2373235943327301</v>
      </c>
      <c r="J58" s="9" t="s">
        <v>49</v>
      </c>
      <c r="K58" s="7">
        <f>VLOOKUP(K$56,$J$7:$R$54,9,0)</f>
        <v>-9.443574651018527E-3</v>
      </c>
      <c r="L58" s="7">
        <f t="shared" ref="L58:Z58" si="22">VLOOKUP(L$56,$J$7:$R$54,9,0)</f>
        <v>2.1946415048137213E-2</v>
      </c>
      <c r="M58" s="7">
        <f t="shared" si="22"/>
        <v>6.4957427910385947E-4</v>
      </c>
      <c r="N58" s="7">
        <f t="shared" si="22"/>
        <v>-1.0458444882409613E-2</v>
      </c>
      <c r="O58" s="7">
        <f t="shared" si="22"/>
        <v>-9.9284174293020836E-3</v>
      </c>
      <c r="P58" s="7">
        <f t="shared" si="22"/>
        <v>-1.0029485145660266E-2</v>
      </c>
      <c r="Q58" s="7">
        <f t="shared" si="22"/>
        <v>6.6018521947880165E-3</v>
      </c>
      <c r="R58" s="7">
        <f t="shared" si="22"/>
        <v>-1.8871939921869085E-2</v>
      </c>
      <c r="S58" s="7">
        <f t="shared" si="22"/>
        <v>-1.1918611522822432E-2</v>
      </c>
      <c r="T58" s="7">
        <f t="shared" si="22"/>
        <v>-4.0593074316053192E-5</v>
      </c>
      <c r="U58" s="7">
        <f t="shared" si="22"/>
        <v>1.5125143201410653E-2</v>
      </c>
      <c r="V58" s="7">
        <f t="shared" si="22"/>
        <v>-1.1130957520728214E-2</v>
      </c>
      <c r="W58" s="7">
        <f t="shared" si="22"/>
        <v>2.2880073147975469E-3</v>
      </c>
      <c r="X58" s="7">
        <f t="shared" si="22"/>
        <v>1.3017473716077888E-2</v>
      </c>
      <c r="Y58" s="7">
        <f t="shared" si="22"/>
        <v>2.8741795304788556E-2</v>
      </c>
      <c r="Z58" s="7">
        <f t="shared" si="22"/>
        <v>7.6656119792406947E-3</v>
      </c>
    </row>
    <row r="59" spans="1:26" x14ac:dyDescent="0.25">
      <c r="A59" s="13">
        <v>3</v>
      </c>
      <c r="B59" s="6">
        <v>2.2605574433312299</v>
      </c>
      <c r="C59" s="6">
        <v>2.26529453717834</v>
      </c>
      <c r="D59" s="6">
        <v>2.2199882090379699</v>
      </c>
      <c r="J59" s="1"/>
    </row>
    <row r="60" spans="1:26" x14ac:dyDescent="0.25">
      <c r="A60" s="13">
        <v>4</v>
      </c>
      <c r="B60" s="6">
        <v>2.2935807239396699</v>
      </c>
      <c r="C60" s="6">
        <v>2.2245103712267098</v>
      </c>
      <c r="D60" s="6">
        <v>2.2071976343905502</v>
      </c>
      <c r="J60" s="1"/>
    </row>
    <row r="61" spans="1:26" x14ac:dyDescent="0.25">
      <c r="A61" s="13">
        <v>5</v>
      </c>
      <c r="B61" s="6">
        <v>2.2978624666902001</v>
      </c>
      <c r="C61" s="6">
        <v>2.1856972652500901</v>
      </c>
      <c r="D61" s="6">
        <v>2.18918458626074</v>
      </c>
      <c r="J61" s="1"/>
    </row>
    <row r="62" spans="1:26" x14ac:dyDescent="0.25">
      <c r="A62" s="13">
        <v>6</v>
      </c>
      <c r="B62" s="6">
        <v>2.2173956495434899</v>
      </c>
      <c r="C62" s="6">
        <v>2.1939301537956002</v>
      </c>
      <c r="D62" s="6">
        <v>2.15813376183976</v>
      </c>
      <c r="J62" s="1"/>
    </row>
    <row r="63" spans="1:26" x14ac:dyDescent="0.25">
      <c r="A63" s="13">
        <v>7</v>
      </c>
      <c r="B63" s="6">
        <v>2.2659190862766598</v>
      </c>
      <c r="C63" s="6">
        <v>2.2384206753617701</v>
      </c>
      <c r="D63" s="6">
        <v>2.1967937986267501</v>
      </c>
      <c r="J63" s="1"/>
    </row>
    <row r="64" spans="1:26" x14ac:dyDescent="0.25">
      <c r="A64" s="13">
        <v>8</v>
      </c>
      <c r="B64" s="6">
        <v>2.2712974966165098</v>
      </c>
      <c r="C64" s="6">
        <v>2.29642027385152</v>
      </c>
      <c r="D64" s="6">
        <v>2.2373734849662901</v>
      </c>
      <c r="J64" s="1"/>
    </row>
    <row r="65" spans="1:10" x14ac:dyDescent="0.25">
      <c r="A65" s="13">
        <v>9</v>
      </c>
      <c r="B65" s="6">
        <v>2.2705119587154599</v>
      </c>
      <c r="C65" s="6">
        <v>2.3606939103075</v>
      </c>
      <c r="D65" s="6">
        <v>2.3008184874927502</v>
      </c>
      <c r="J65" s="1"/>
    </row>
    <row r="66" spans="1:10" x14ac:dyDescent="0.25">
      <c r="A66" s="13">
        <v>10</v>
      </c>
      <c r="B66" s="6">
        <v>2.2652568226481602</v>
      </c>
      <c r="C66" s="6">
        <v>2.3270195989992302</v>
      </c>
      <c r="D66" s="6">
        <v>2.3086234935036698</v>
      </c>
      <c r="J66" s="1"/>
    </row>
    <row r="67" spans="1:10" x14ac:dyDescent="0.25">
      <c r="A67" s="13">
        <v>11</v>
      </c>
      <c r="B67" s="6">
        <v>2.2160083314486498</v>
      </c>
      <c r="C67" s="6">
        <v>2.2791740796074502</v>
      </c>
      <c r="D67" s="6">
        <v>2.2936222358585598</v>
      </c>
      <c r="J67" s="1"/>
    </row>
    <row r="68" spans="1:10" x14ac:dyDescent="0.25">
      <c r="A68" s="13">
        <v>12</v>
      </c>
      <c r="B68" s="6">
        <v>2.21888594762419</v>
      </c>
      <c r="C68" s="6">
        <v>2.2305139284076798</v>
      </c>
      <c r="D68" s="6">
        <v>2.2190032623146698</v>
      </c>
      <c r="J68" s="1"/>
    </row>
    <row r="69" spans="1:10" x14ac:dyDescent="0.25">
      <c r="A69" s="13">
        <v>13</v>
      </c>
      <c r="B69" s="6">
        <v>2.3546054810811099</v>
      </c>
      <c r="C69" s="6">
        <v>2.2704762917324102</v>
      </c>
      <c r="D69" s="6">
        <v>2.24415020549859</v>
      </c>
      <c r="J69" s="1"/>
    </row>
    <row r="70" spans="1:10" x14ac:dyDescent="0.25">
      <c r="A70" s="13">
        <v>14</v>
      </c>
      <c r="B70" s="6">
        <v>2.35867661111959</v>
      </c>
      <c r="C70" s="6">
        <v>2.24550026593815</v>
      </c>
      <c r="D70" s="6">
        <v>2.2280501551815899</v>
      </c>
      <c r="J70" s="1"/>
    </row>
    <row r="71" spans="1:10" x14ac:dyDescent="0.25">
      <c r="A71" s="13">
        <v>15</v>
      </c>
      <c r="B71" s="6">
        <v>2.2849843273068502</v>
      </c>
      <c r="C71" s="6">
        <v>2.1189527872362302</v>
      </c>
      <c r="D71" s="6">
        <v>2.1439995624609902</v>
      </c>
      <c r="J71" s="1"/>
    </row>
    <row r="72" spans="1:10" x14ac:dyDescent="0.25">
      <c r="A72" s="13">
        <v>16</v>
      </c>
      <c r="B72" s="6">
        <v>2.30345429415638</v>
      </c>
      <c r="C72" s="6">
        <v>2.0938625616169202</v>
      </c>
      <c r="D72" s="6">
        <v>2.1307949538056801</v>
      </c>
      <c r="J72" s="1"/>
    </row>
    <row r="73" spans="1:10" x14ac:dyDescent="0.25">
      <c r="A73" s="13">
        <v>17</v>
      </c>
      <c r="B73" s="6">
        <v>2.27840932324523</v>
      </c>
      <c r="C73" s="6">
        <v>2.06032751959772</v>
      </c>
      <c r="D73" s="6">
        <v>2.1125881133342901</v>
      </c>
      <c r="J73" s="1"/>
    </row>
    <row r="74" spans="1:10" x14ac:dyDescent="0.25">
      <c r="A74" s="13">
        <v>18</v>
      </c>
      <c r="B74" s="6">
        <v>2.2000677782010198</v>
      </c>
      <c r="C74" s="6">
        <v>2.0481073494642699</v>
      </c>
      <c r="D74" s="6">
        <v>2.08179145745616</v>
      </c>
      <c r="J74" s="1"/>
    </row>
    <row r="75" spans="1:10" x14ac:dyDescent="0.25">
      <c r="A75" s="13">
        <v>19</v>
      </c>
      <c r="B75" s="6">
        <v>2.2478979164541002</v>
      </c>
      <c r="C75" s="6">
        <v>2.09546368992839</v>
      </c>
      <c r="D75" s="6">
        <v>2.1178547727560302</v>
      </c>
      <c r="J75" s="1"/>
    </row>
    <row r="76" spans="1:10" x14ac:dyDescent="0.25">
      <c r="A76" s="13">
        <v>20</v>
      </c>
      <c r="B76" s="6">
        <v>2.25291873864695</v>
      </c>
      <c r="C76" s="6">
        <v>2.15443401345635</v>
      </c>
      <c r="D76" s="6">
        <v>2.1556834553097</v>
      </c>
      <c r="J76" s="1"/>
    </row>
    <row r="77" spans="1:10" x14ac:dyDescent="0.25">
      <c r="A77" s="13">
        <v>21</v>
      </c>
      <c r="B77" s="6">
        <v>2.2518248970177899</v>
      </c>
      <c r="C77" s="6">
        <v>2.2163882433636499</v>
      </c>
      <c r="D77" s="6">
        <v>2.2154832935336399</v>
      </c>
      <c r="J77" s="1"/>
    </row>
    <row r="78" spans="1:10" x14ac:dyDescent="0.25">
      <c r="A78" s="13">
        <v>22</v>
      </c>
      <c r="B78" s="6">
        <v>2.2469269442661401</v>
      </c>
      <c r="C78" s="6">
        <v>2.1740528765475502</v>
      </c>
      <c r="D78" s="6">
        <v>2.2206529024380202</v>
      </c>
    </row>
    <row r="79" spans="1:10" x14ac:dyDescent="0.25">
      <c r="A79" s="13">
        <v>23</v>
      </c>
      <c r="B79" s="6">
        <v>2.1983841088049099</v>
      </c>
      <c r="C79" s="6">
        <v>2.1199672582445799</v>
      </c>
      <c r="D79" s="6">
        <v>2.2038174924819698</v>
      </c>
    </row>
    <row r="80" spans="1:10" x14ac:dyDescent="0.25">
      <c r="A80" s="13">
        <v>24</v>
      </c>
      <c r="B80" s="6">
        <v>2.2015464303251702</v>
      </c>
      <c r="C80" s="6">
        <v>2.0533740632278801</v>
      </c>
      <c r="D80" s="6">
        <v>2.12987014554278</v>
      </c>
    </row>
    <row r="81" spans="1:4" x14ac:dyDescent="0.25">
      <c r="A81" s="13">
        <v>25</v>
      </c>
      <c r="B81" s="6">
        <v>2.3368583291479501</v>
      </c>
      <c r="C81" s="6">
        <v>2.1042662543194499</v>
      </c>
      <c r="D81" s="6">
        <v>2.1526872590262398</v>
      </c>
    </row>
    <row r="82" spans="1:4" x14ac:dyDescent="0.25">
      <c r="A82" s="13">
        <v>26</v>
      </c>
      <c r="B82" s="6">
        <v>2.3415530337224002</v>
      </c>
      <c r="C82" s="6">
        <v>2.0690438276652001</v>
      </c>
      <c r="D82" s="6">
        <v>2.13593393066677</v>
      </c>
    </row>
    <row r="83" spans="1:4" x14ac:dyDescent="0.25">
      <c r="A83" s="13">
        <v>27</v>
      </c>
      <c r="B83" s="6">
        <v>2.2690297384493299</v>
      </c>
      <c r="C83" s="6">
        <v>1.96182675031497</v>
      </c>
      <c r="D83" s="6">
        <v>2.0542208629220098</v>
      </c>
    </row>
    <row r="84" spans="1:4" x14ac:dyDescent="0.25">
      <c r="A84" s="13">
        <v>28</v>
      </c>
      <c r="B84" s="6">
        <v>2.28689138436981</v>
      </c>
      <c r="C84" s="6">
        <v>1.94046018444505</v>
      </c>
      <c r="D84" s="6">
        <v>2.0399378159291301</v>
      </c>
    </row>
    <row r="85" spans="1:4" x14ac:dyDescent="0.25">
      <c r="A85" s="13">
        <v>29</v>
      </c>
      <c r="B85" s="6">
        <v>2.26155245285655</v>
      </c>
      <c r="C85" s="6">
        <v>1.9111578664867599</v>
      </c>
      <c r="D85" s="6">
        <v>2.0209432873945201</v>
      </c>
    </row>
    <row r="86" spans="1:4" x14ac:dyDescent="0.25">
      <c r="A86" s="13">
        <v>30</v>
      </c>
      <c r="B86" s="6">
        <v>2.1833328698107599</v>
      </c>
      <c r="C86" s="6">
        <v>1.9016483347694499</v>
      </c>
      <c r="D86" s="6">
        <v>1.98989125110582</v>
      </c>
    </row>
    <row r="87" spans="1:4" x14ac:dyDescent="0.25">
      <c r="A87" s="13">
        <v>31</v>
      </c>
      <c r="B87" s="6">
        <v>2.2307212624244799</v>
      </c>
      <c r="C87" s="6">
        <v>1.94833320985763</v>
      </c>
      <c r="D87" s="6">
        <v>2.02326660853804</v>
      </c>
    </row>
    <row r="88" spans="1:4" x14ac:dyDescent="0.25">
      <c r="A88" s="13">
        <v>32</v>
      </c>
      <c r="B88" s="6">
        <v>2.2356256243863899</v>
      </c>
      <c r="C88" s="6">
        <v>2.0060515044761602</v>
      </c>
      <c r="D88" s="6">
        <v>2.0582537004211701</v>
      </c>
    </row>
    <row r="89" spans="1:4" x14ac:dyDescent="0.25">
      <c r="A89" s="13">
        <v>33</v>
      </c>
      <c r="B89" s="6">
        <v>2.2344621245943301</v>
      </c>
      <c r="C89" s="6">
        <v>2.0667146059789401</v>
      </c>
      <c r="D89" s="6">
        <v>2.1141674105869499</v>
      </c>
    </row>
    <row r="90" spans="1:4" x14ac:dyDescent="0.25">
      <c r="A90" s="13">
        <v>34</v>
      </c>
      <c r="B90" s="6">
        <v>2.2298355996519099</v>
      </c>
      <c r="C90" s="6">
        <v>2.03238900198938</v>
      </c>
      <c r="D90" s="6">
        <v>2.1173610810069698</v>
      </c>
    </row>
    <row r="91" spans="1:4" x14ac:dyDescent="0.25">
      <c r="A91" s="13">
        <v>35</v>
      </c>
      <c r="B91" s="6">
        <v>2.1818906451968201</v>
      </c>
      <c r="C91" s="6">
        <v>1.9870311936294101</v>
      </c>
      <c r="D91" s="6">
        <v>2.09952636013645</v>
      </c>
    </row>
    <row r="92" spans="1:4" x14ac:dyDescent="0.25">
      <c r="A92" s="13">
        <v>36</v>
      </c>
      <c r="B92" s="6">
        <v>2.1852582320404998</v>
      </c>
      <c r="C92" s="6">
        <v>1.9295039235125899</v>
      </c>
      <c r="D92" s="6">
        <v>2.0274127888239399</v>
      </c>
    </row>
    <row r="93" spans="1:4" x14ac:dyDescent="0.25">
      <c r="C93" s="6">
        <v>1.9802406879619601</v>
      </c>
    </row>
    <row r="94" spans="1:4" x14ac:dyDescent="0.25">
      <c r="C94" s="6">
        <v>1.9499643636589099</v>
      </c>
    </row>
    <row r="95" spans="1:4" x14ac:dyDescent="0.25">
      <c r="C95" s="6">
        <v>1.8513793931985301</v>
      </c>
    </row>
    <row r="96" spans="1:4" x14ac:dyDescent="0.25">
      <c r="C96" s="6">
        <v>1.8347373181489599</v>
      </c>
    </row>
    <row r="97" spans="3:3" x14ac:dyDescent="0.25">
      <c r="C97" s="6">
        <v>1.81039436915302</v>
      </c>
    </row>
    <row r="98" spans="3:3" x14ac:dyDescent="0.25">
      <c r="C98" s="6">
        <v>1.8048504423957401</v>
      </c>
    </row>
    <row r="99" spans="3:3" x14ac:dyDescent="0.25">
      <c r="C99" s="6">
        <v>1.8515671821219</v>
      </c>
    </row>
    <row r="100" spans="3:3" x14ac:dyDescent="0.25">
      <c r="C100" s="6">
        <v>1.9089844463876999</v>
      </c>
    </row>
    <row r="101" spans="3:3" x14ac:dyDescent="0.25">
      <c r="C101" s="6">
        <v>1.9693589860780401</v>
      </c>
    </row>
    <row r="102" spans="3:3" x14ac:dyDescent="0.25">
      <c r="C102" s="6">
        <v>1.9404764489344399</v>
      </c>
    </row>
    <row r="103" spans="3:3" x14ac:dyDescent="0.25">
      <c r="C103" s="6">
        <v>1.9010430719364599</v>
      </c>
    </row>
    <row r="104" spans="3:3" x14ac:dyDescent="0.25">
      <c r="C104" s="6">
        <v>1.84965230317736</v>
      </c>
    </row>
    <row r="138" spans="1:6" x14ac:dyDescent="0.25">
      <c r="B138" t="s">
        <v>56</v>
      </c>
      <c r="C138" t="s">
        <v>57</v>
      </c>
      <c r="E138" t="s">
        <v>56</v>
      </c>
      <c r="F138" t="s">
        <v>57</v>
      </c>
    </row>
    <row r="139" spans="1:6" x14ac:dyDescent="0.25">
      <c r="A139" s="3">
        <v>43101</v>
      </c>
      <c r="B139" s="6">
        <v>8.5579686155119106</v>
      </c>
      <c r="C139" s="6">
        <v>8.5579686155119106</v>
      </c>
      <c r="E139" s="6">
        <v>8.7676128963580897</v>
      </c>
      <c r="F139" s="6">
        <v>8.7676128963580897</v>
      </c>
    </row>
    <row r="140" spans="1:6" x14ac:dyDescent="0.25">
      <c r="A140" s="3">
        <v>43132</v>
      </c>
      <c r="B140" s="6">
        <v>8.6584997644427109</v>
      </c>
      <c r="C140" s="6">
        <v>8.6584997644427109</v>
      </c>
      <c r="E140" s="6">
        <v>8.8772704176211406</v>
      </c>
      <c r="F140" s="6">
        <v>8.8772704176211406</v>
      </c>
    </row>
    <row r="141" spans="1:6" x14ac:dyDescent="0.25">
      <c r="A141" s="3">
        <v>43160</v>
      </c>
      <c r="B141" s="6">
        <v>8.5403446924450996</v>
      </c>
      <c r="C141" s="6">
        <v>8.5403446924450996</v>
      </c>
      <c r="E141" s="6">
        <v>8.7777974317289509</v>
      </c>
      <c r="F141" s="6">
        <v>8.7777974317289509</v>
      </c>
    </row>
    <row r="142" spans="1:6" x14ac:dyDescent="0.25">
      <c r="A142" s="3">
        <v>43191</v>
      </c>
      <c r="B142" s="6">
        <v>9.0722501102928206</v>
      </c>
      <c r="C142" s="6">
        <v>9.0238981097118902</v>
      </c>
      <c r="E142" s="6">
        <v>9.2908905904122001</v>
      </c>
      <c r="F142" s="6">
        <v>9.2441920574616798</v>
      </c>
    </row>
    <row r="143" spans="1:6" x14ac:dyDescent="0.25">
      <c r="A143" s="3">
        <v>43221</v>
      </c>
      <c r="B143" s="6">
        <v>9.1979279757755101</v>
      </c>
      <c r="C143" s="6">
        <v>9.1082562606962707</v>
      </c>
      <c r="E143" s="6">
        <v>9.4990092990095807</v>
      </c>
      <c r="F143" s="6">
        <v>9.4062050698981494</v>
      </c>
    </row>
    <row r="144" spans="1:6" x14ac:dyDescent="0.25">
      <c r="A144" s="3">
        <v>43252</v>
      </c>
      <c r="B144" s="6">
        <v>9.0983261058364704</v>
      </c>
      <c r="C144" s="6">
        <v>8.9679941102690499</v>
      </c>
      <c r="E144" s="6">
        <v>9.4745999229392908</v>
      </c>
      <c r="F144" s="6">
        <v>9.3452327947784397</v>
      </c>
    </row>
    <row r="145" spans="1:6" x14ac:dyDescent="0.25">
      <c r="A145" s="3">
        <v>43282</v>
      </c>
      <c r="B145" s="6">
        <v>9.3014796193467202</v>
      </c>
      <c r="C145" s="6">
        <v>9.1413990943292198</v>
      </c>
      <c r="E145" s="6">
        <v>9.7761567233880893</v>
      </c>
      <c r="F145" s="6">
        <v>9.60891649728846</v>
      </c>
    </row>
    <row r="146" spans="1:6" x14ac:dyDescent="0.25">
      <c r="A146" s="3">
        <v>43313</v>
      </c>
      <c r="B146" s="6">
        <v>9.4522292589492398</v>
      </c>
      <c r="C146" s="6">
        <v>9.2612253894723793</v>
      </c>
      <c r="E146" s="6">
        <v>10.0269855852211</v>
      </c>
      <c r="F146" s="6">
        <v>9.8255339664818706</v>
      </c>
    </row>
    <row r="147" spans="1:6" x14ac:dyDescent="0.25">
      <c r="A147" s="3">
        <v>43344</v>
      </c>
      <c r="B147" s="6">
        <v>9.5077098666085593</v>
      </c>
      <c r="C147" s="6">
        <v>9.2871860465878608</v>
      </c>
      <c r="E147" s="6">
        <v>10.1828221913063</v>
      </c>
      <c r="F147" s="6">
        <v>9.9470730439224297</v>
      </c>
    </row>
    <row r="148" spans="1:6" x14ac:dyDescent="0.25">
      <c r="A148" s="3">
        <v>43374</v>
      </c>
      <c r="B148" s="6">
        <v>9.5153223652773598</v>
      </c>
      <c r="C148" s="6">
        <v>9.3109420312022397</v>
      </c>
      <c r="E148" s="6">
        <v>10.2853319359397</v>
      </c>
      <c r="F148" s="6">
        <v>10.0684341735664</v>
      </c>
    </row>
    <row r="149" spans="1:6" x14ac:dyDescent="0.25">
      <c r="A149" s="3">
        <v>43405</v>
      </c>
      <c r="B149" s="6">
        <v>9.1775267869877393</v>
      </c>
      <c r="C149" s="6">
        <v>8.9957228148057204</v>
      </c>
      <c r="E149" s="6">
        <v>10.018685254739999</v>
      </c>
      <c r="F149" s="6">
        <v>9.8278246345048998</v>
      </c>
    </row>
    <row r="150" spans="1:6" x14ac:dyDescent="0.25">
      <c r="A150" s="3">
        <v>43435</v>
      </c>
      <c r="B150" s="6">
        <v>8.9138160287497907</v>
      </c>
      <c r="C150" s="6">
        <v>8.7525789141239603</v>
      </c>
      <c r="E150" s="6">
        <v>9.8316842286734705</v>
      </c>
      <c r="F150" s="6">
        <v>9.6593133504902706</v>
      </c>
    </row>
    <row r="151" spans="1:6" x14ac:dyDescent="0.25">
      <c r="A151" s="3">
        <v>43466</v>
      </c>
      <c r="B151" s="6">
        <v>9.0076398787373702</v>
      </c>
      <c r="C151" s="6">
        <v>8.7722096105160894</v>
      </c>
      <c r="E151" s="6">
        <v>10.040693035354201</v>
      </c>
      <c r="F151" s="6">
        <v>9.7819397645984907</v>
      </c>
    </row>
    <row r="152" spans="1:6" x14ac:dyDescent="0.25">
      <c r="A152" s="3">
        <v>43497</v>
      </c>
      <c r="B152" s="6">
        <v>9.04222595436765</v>
      </c>
      <c r="C152" s="6">
        <v>8.7328249809707703</v>
      </c>
      <c r="E152" s="6">
        <v>10.1894522846512</v>
      </c>
      <c r="F152" s="6">
        <v>9.8474690046143802</v>
      </c>
    </row>
    <row r="153" spans="1:6" x14ac:dyDescent="0.25">
      <c r="A153" s="3">
        <v>43525</v>
      </c>
      <c r="B153" s="6">
        <v>8.8897802741601506</v>
      </c>
      <c r="C153" s="6">
        <v>8.5222601144732106</v>
      </c>
      <c r="E153" s="6">
        <v>10.129363539506</v>
      </c>
      <c r="F153" s="6">
        <v>9.7188693478774599</v>
      </c>
    </row>
    <row r="154" spans="1:6" x14ac:dyDescent="0.25">
      <c r="A154" s="3">
        <v>43556</v>
      </c>
      <c r="B154" s="6">
        <v>9.4758535149955101</v>
      </c>
      <c r="C154" s="6">
        <v>9.0505634988584607</v>
      </c>
      <c r="E154" s="6">
        <v>10.945866286178401</v>
      </c>
      <c r="F154" s="6">
        <v>10.4608237334582</v>
      </c>
    </row>
    <row r="155" spans="1:6" x14ac:dyDescent="0.25">
      <c r="A155" s="3">
        <v>43586</v>
      </c>
      <c r="B155" s="6">
        <v>9.6353847498145608</v>
      </c>
      <c r="C155" s="6">
        <v>9.1710733282600607</v>
      </c>
      <c r="E155" s="6">
        <v>11.2806621069291</v>
      </c>
      <c r="F155" s="6">
        <v>10.7385092750769</v>
      </c>
    </row>
    <row r="156" spans="1:6" x14ac:dyDescent="0.25">
      <c r="A156" s="3">
        <v>43617</v>
      </c>
      <c r="B156" s="6">
        <v>9.5608311278170408</v>
      </c>
      <c r="C156" s="6">
        <v>9.0665127101714909</v>
      </c>
      <c r="E156" s="6">
        <v>11.3460137025468</v>
      </c>
      <c r="F156" s="6">
        <v>10.7629391517436</v>
      </c>
    </row>
    <row r="157" spans="1:6" x14ac:dyDescent="0.25">
      <c r="A157" s="3">
        <v>43647</v>
      </c>
      <c r="B157" s="6">
        <v>9.8149769184375995</v>
      </c>
      <c r="C157" s="6">
        <v>9.3262797646732807</v>
      </c>
      <c r="E157" s="6">
        <v>11.8132646769382</v>
      </c>
      <c r="F157" s="6">
        <v>11.2224834499695</v>
      </c>
    </row>
    <row r="158" spans="1:6" x14ac:dyDescent="0.25">
      <c r="A158" s="3">
        <v>43678</v>
      </c>
      <c r="B158" s="6">
        <v>10.017780778554</v>
      </c>
      <c r="C158" s="6">
        <v>9.5377780477262295</v>
      </c>
      <c r="E158" s="6">
        <v>12.228835185522</v>
      </c>
      <c r="F158" s="6">
        <v>11.638136858958701</v>
      </c>
    </row>
    <row r="159" spans="1:6" x14ac:dyDescent="0.25">
      <c r="A159" s="3">
        <v>43709</v>
      </c>
      <c r="B159" s="6">
        <v>10.119732417029001</v>
      </c>
      <c r="C159" s="6">
        <v>9.6548482142550807</v>
      </c>
      <c r="E159" s="6">
        <v>12.5321031311813</v>
      </c>
      <c r="F159" s="6">
        <v>11.949827329470899</v>
      </c>
    </row>
    <row r="160" spans="1:6" x14ac:dyDescent="0.25">
      <c r="A160" s="3">
        <v>43739</v>
      </c>
      <c r="B160" s="6">
        <v>10.1983114624488</v>
      </c>
      <c r="C160" s="6">
        <v>9.7517619478322803</v>
      </c>
      <c r="E160" s="6">
        <v>12.810911146847101</v>
      </c>
      <c r="F160" s="6">
        <v>12.245268249650699</v>
      </c>
    </row>
    <row r="161" spans="1:6" x14ac:dyDescent="0.25">
      <c r="A161" s="3">
        <v>43770</v>
      </c>
      <c r="B161" s="6">
        <v>9.9048898016013407</v>
      </c>
      <c r="C161" s="6">
        <v>9.4942607325442196</v>
      </c>
      <c r="E161" s="6">
        <v>12.623126954565199</v>
      </c>
      <c r="F161" s="6">
        <v>12.0980137779791</v>
      </c>
    </row>
    <row r="162" spans="1:6" x14ac:dyDescent="0.25">
      <c r="A162" s="3">
        <v>43800</v>
      </c>
      <c r="B162" s="6">
        <v>9.6872232927557693</v>
      </c>
      <c r="C162" s="6">
        <v>9.3065607115757292</v>
      </c>
      <c r="E162" s="6">
        <v>12.530630394749799</v>
      </c>
      <c r="F162" s="6">
        <v>12.0359436035186</v>
      </c>
    </row>
    <row r="163" spans="1:6" x14ac:dyDescent="0.25">
      <c r="A163" s="3">
        <v>43831</v>
      </c>
      <c r="B163" s="6">
        <v>9.8329316770830406</v>
      </c>
      <c r="C163" s="6">
        <v>9.4612962866057604</v>
      </c>
      <c r="E163" s="6">
        <v>12.914360754809399</v>
      </c>
      <c r="F163" s="6">
        <v>12.420367285077599</v>
      </c>
    </row>
    <row r="164" spans="1:6" x14ac:dyDescent="0.25">
      <c r="A164" s="3">
        <v>43862</v>
      </c>
      <c r="B164" s="6">
        <v>9.9137856123118304</v>
      </c>
      <c r="C164" s="6">
        <v>9.55399173697454</v>
      </c>
      <c r="E164" s="6">
        <v>13.218297552632899</v>
      </c>
      <c r="F164" s="6">
        <v>12.732960788589301</v>
      </c>
    </row>
    <row r="165" spans="1:6" x14ac:dyDescent="0.25">
      <c r="A165" s="3">
        <v>43891</v>
      </c>
      <c r="B165" s="6">
        <v>9.7865548048417192</v>
      </c>
      <c r="C165" s="6">
        <v>9.4444021123311703</v>
      </c>
      <c r="E165" s="6">
        <v>13.249955908531099</v>
      </c>
      <c r="F165" s="6">
        <v>12.7804828941184</v>
      </c>
    </row>
    <row r="166" spans="1:6" x14ac:dyDescent="0.25">
      <c r="A166" s="3">
        <v>43922</v>
      </c>
      <c r="B166" s="6">
        <v>10.4906432556669</v>
      </c>
      <c r="C166" s="6">
        <v>10.1091325709315</v>
      </c>
      <c r="E166" s="6">
        <v>14.453039623415</v>
      </c>
      <c r="F166" s="6">
        <v>13.9183940237368</v>
      </c>
    </row>
    <row r="167" spans="1:6" x14ac:dyDescent="0.25">
      <c r="A167" s="3">
        <v>43952</v>
      </c>
      <c r="B167" s="6">
        <v>10.726837520654399</v>
      </c>
      <c r="C167" s="6">
        <v>10.322068791270199</v>
      </c>
      <c r="E167" s="6">
        <v>15.0388245325807</v>
      </c>
      <c r="F167" s="6">
        <v>14.4581426124186</v>
      </c>
    </row>
    <row r="168" spans="1:6" x14ac:dyDescent="0.25">
      <c r="A168" s="3">
        <v>43983</v>
      </c>
      <c r="B168" s="6">
        <v>10.7039300708868</v>
      </c>
      <c r="C168" s="6">
        <v>10.2850272316246</v>
      </c>
      <c r="E168" s="6">
        <v>15.266429353837999</v>
      </c>
      <c r="F168" s="6">
        <v>14.655739459327201</v>
      </c>
    </row>
    <row r="169" spans="1:6" x14ac:dyDescent="0.25">
      <c r="A169" s="3">
        <v>44013</v>
      </c>
      <c r="B169" s="6">
        <v>11.034867578796501</v>
      </c>
      <c r="C169" s="6">
        <v>10.5828668518374</v>
      </c>
      <c r="E169" s="6">
        <v>16.024865822319299</v>
      </c>
      <c r="F169" s="6">
        <v>15.3502995787034</v>
      </c>
    </row>
    <row r="170" spans="1:6" x14ac:dyDescent="0.25">
      <c r="A170" s="3">
        <v>44044</v>
      </c>
      <c r="B170" s="6">
        <v>11.3105731639815</v>
      </c>
      <c r="C170" s="6">
        <v>10.826202615410899</v>
      </c>
      <c r="E170" s="6">
        <v>16.72039219869</v>
      </c>
      <c r="F170" s="6">
        <v>15.9832929245388</v>
      </c>
    </row>
    <row r="171" spans="1:6" x14ac:dyDescent="0.25">
      <c r="A171" s="3">
        <v>44075</v>
      </c>
      <c r="B171" s="6">
        <v>11.4752344357341</v>
      </c>
      <c r="C171" s="6">
        <v>10.962470442701299</v>
      </c>
      <c r="E171" s="6">
        <v>17.272673323461401</v>
      </c>
      <c r="F171" s="6">
        <v>16.476709094550401</v>
      </c>
    </row>
    <row r="172" spans="1:6" x14ac:dyDescent="0.25">
      <c r="A172" s="3">
        <v>44105</v>
      </c>
      <c r="B172" s="6">
        <v>11.631220285135401</v>
      </c>
      <c r="C172" s="6">
        <v>11.048322322678899</v>
      </c>
      <c r="E172" s="6">
        <v>17.822255380230501</v>
      </c>
      <c r="F172" s="6">
        <v>16.902877903186599</v>
      </c>
    </row>
    <row r="173" spans="1:6" x14ac:dyDescent="0.25">
      <c r="A173" s="3">
        <v>44136</v>
      </c>
      <c r="B173" s="6">
        <v>11.3638573001921</v>
      </c>
      <c r="C173" s="6">
        <v>10.7323048626145</v>
      </c>
      <c r="E173" s="6">
        <v>17.7255351203213</v>
      </c>
      <c r="F173" s="6">
        <v>16.714654279320399</v>
      </c>
    </row>
    <row r="174" spans="1:6" x14ac:dyDescent="0.25">
      <c r="A174" s="3">
        <v>44166</v>
      </c>
      <c r="B174" s="6">
        <v>11.17840668406</v>
      </c>
      <c r="C174" s="6">
        <v>10.497148020771</v>
      </c>
      <c r="E174" s="6">
        <v>17.761670376437401</v>
      </c>
      <c r="F174" s="6">
        <v>16.649918705365199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1153"/>
  <sheetViews>
    <sheetView tabSelected="1" topLeftCell="A1123" workbookViewId="0">
      <selection activeCell="C1140" sqref="C1140"/>
    </sheetView>
  </sheetViews>
  <sheetFormatPr baseColWidth="10" defaultRowHeight="15" x14ac:dyDescent="0.25"/>
  <cols>
    <col min="1" max="1" width="10.7109375" bestFit="1" customWidth="1"/>
    <col min="2" max="2" width="19.5703125" bestFit="1" customWidth="1"/>
    <col min="3" max="3" width="19.5703125" customWidth="1"/>
    <col min="4" max="4" width="22.5703125" bestFit="1" customWidth="1"/>
    <col min="5" max="5" width="21.28515625" bestFit="1" customWidth="1"/>
    <col min="6" max="6" width="19.425781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5</v>
      </c>
      <c r="E1" t="s">
        <v>7</v>
      </c>
      <c r="F1" t="s">
        <v>36</v>
      </c>
    </row>
    <row r="2" spans="1:6" ht="15" customHeight="1" x14ac:dyDescent="0.25">
      <c r="A2" s="1">
        <v>41640</v>
      </c>
      <c r="B2" t="s">
        <v>8</v>
      </c>
      <c r="C2" t="s">
        <v>4</v>
      </c>
      <c r="D2">
        <v>2.7773818652850699</v>
      </c>
      <c r="E2">
        <v>2.71950772709287</v>
      </c>
      <c r="F2">
        <v>2.8364876292741399</v>
      </c>
    </row>
    <row r="3" spans="1:6" ht="15" customHeight="1" x14ac:dyDescent="0.25">
      <c r="A3" s="1">
        <v>41671</v>
      </c>
      <c r="B3" t="s">
        <v>8</v>
      </c>
      <c r="C3" t="s">
        <v>4</v>
      </c>
      <c r="D3">
        <v>2.6908123177554102</v>
      </c>
      <c r="E3">
        <v>2.6384731145750702</v>
      </c>
      <c r="F3">
        <v>2.7441897699800202</v>
      </c>
    </row>
    <row r="4" spans="1:6" ht="15" customHeight="1" x14ac:dyDescent="0.25">
      <c r="A4" s="1">
        <v>41699</v>
      </c>
      <c r="B4" t="s">
        <v>8</v>
      </c>
      <c r="C4" t="s">
        <v>4</v>
      </c>
      <c r="D4">
        <v>2.6115590809242599</v>
      </c>
      <c r="E4">
        <v>2.5603980168629001</v>
      </c>
      <c r="F4">
        <v>2.66374242920027</v>
      </c>
    </row>
    <row r="5" spans="1:6" ht="15" customHeight="1" x14ac:dyDescent="0.25">
      <c r="A5" s="1">
        <v>41730</v>
      </c>
      <c r="B5" t="s">
        <v>8</v>
      </c>
      <c r="C5" t="s">
        <v>4</v>
      </c>
      <c r="D5">
        <v>2.5871640030646099</v>
      </c>
      <c r="E5">
        <v>2.5364407164990799</v>
      </c>
      <c r="F5">
        <v>2.6389016448182101</v>
      </c>
    </row>
    <row r="6" spans="1:6" ht="15" customHeight="1" x14ac:dyDescent="0.25">
      <c r="A6" s="1">
        <v>41760</v>
      </c>
      <c r="B6" t="s">
        <v>8</v>
      </c>
      <c r="C6" t="s">
        <v>4</v>
      </c>
      <c r="D6">
        <v>2.55779407918337</v>
      </c>
      <c r="E6">
        <v>2.5075051651271401</v>
      </c>
      <c r="F6">
        <v>2.6090915554201</v>
      </c>
    </row>
    <row r="7" spans="1:6" ht="15" customHeight="1" x14ac:dyDescent="0.25">
      <c r="A7" s="1">
        <v>41791</v>
      </c>
      <c r="B7" t="s">
        <v>8</v>
      </c>
      <c r="C7" t="s">
        <v>4</v>
      </c>
      <c r="D7">
        <v>2.5032737781077801</v>
      </c>
      <c r="E7">
        <v>2.4541370968287</v>
      </c>
      <c r="F7">
        <v>2.5533942729848298</v>
      </c>
    </row>
    <row r="8" spans="1:6" ht="15" customHeight="1" x14ac:dyDescent="0.25">
      <c r="A8" s="1">
        <v>41821</v>
      </c>
      <c r="B8" t="s">
        <v>8</v>
      </c>
      <c r="C8" t="s">
        <v>4</v>
      </c>
      <c r="D8">
        <v>2.5537242790044101</v>
      </c>
      <c r="E8">
        <v>2.5034295034395901</v>
      </c>
      <c r="F8">
        <v>2.6050294942263701</v>
      </c>
    </row>
    <row r="9" spans="1:6" ht="15" customHeight="1" x14ac:dyDescent="0.25">
      <c r="A9" s="1">
        <v>41852</v>
      </c>
      <c r="B9" t="s">
        <v>8</v>
      </c>
      <c r="C9" t="s">
        <v>4</v>
      </c>
      <c r="D9">
        <v>2.6070677771857498</v>
      </c>
      <c r="E9">
        <v>2.5550443406431498</v>
      </c>
      <c r="F9">
        <v>2.6601504665587798</v>
      </c>
    </row>
    <row r="10" spans="1:6" ht="15" customHeight="1" x14ac:dyDescent="0.25">
      <c r="A10" s="1">
        <v>41883</v>
      </c>
      <c r="B10" t="s">
        <v>8</v>
      </c>
      <c r="C10" t="s">
        <v>4</v>
      </c>
      <c r="D10">
        <v>2.5919903203354999</v>
      </c>
      <c r="E10">
        <v>2.5408796981046202</v>
      </c>
      <c r="F10">
        <v>2.6441290493700098</v>
      </c>
    </row>
    <row r="11" spans="1:6" ht="15" customHeight="1" x14ac:dyDescent="0.25">
      <c r="A11" s="1">
        <v>41913</v>
      </c>
      <c r="B11" t="s">
        <v>8</v>
      </c>
      <c r="C11" t="s">
        <v>4</v>
      </c>
      <c r="D11">
        <v>2.5980130636126102</v>
      </c>
      <c r="E11">
        <v>2.5470712245654501</v>
      </c>
      <c r="F11">
        <v>2.6499737477318899</v>
      </c>
    </row>
    <row r="12" spans="1:6" ht="15" customHeight="1" x14ac:dyDescent="0.25">
      <c r="A12" s="1">
        <v>41944</v>
      </c>
      <c r="B12" t="s">
        <v>8</v>
      </c>
      <c r="C12" t="s">
        <v>4</v>
      </c>
      <c r="D12">
        <v>2.5613010620017298</v>
      </c>
      <c r="E12">
        <v>2.5110160094055298</v>
      </c>
      <c r="F12">
        <v>2.6125931119667798</v>
      </c>
    </row>
    <row r="13" spans="1:6" ht="15" customHeight="1" x14ac:dyDescent="0.25">
      <c r="A13" s="1">
        <v>41974</v>
      </c>
      <c r="B13" t="s">
        <v>8</v>
      </c>
      <c r="C13" t="s">
        <v>4</v>
      </c>
      <c r="D13">
        <v>2.4546945766625101</v>
      </c>
      <c r="E13">
        <v>2.4065246171834</v>
      </c>
      <c r="F13">
        <v>2.5038287253211799</v>
      </c>
    </row>
    <row r="14" spans="1:6" ht="15" customHeight="1" x14ac:dyDescent="0.25">
      <c r="A14" s="1">
        <v>42005</v>
      </c>
      <c r="B14" t="s">
        <v>8</v>
      </c>
      <c r="C14" t="s">
        <v>4</v>
      </c>
      <c r="D14">
        <v>2.4906792345350501</v>
      </c>
      <c r="E14">
        <v>2.4417426711064398</v>
      </c>
      <c r="F14">
        <v>2.5405965676690698</v>
      </c>
    </row>
    <row r="15" spans="1:6" ht="15" customHeight="1" x14ac:dyDescent="0.25">
      <c r="A15" s="1">
        <v>42036</v>
      </c>
      <c r="B15" t="s">
        <v>8</v>
      </c>
      <c r="C15" t="s">
        <v>4</v>
      </c>
      <c r="D15">
        <v>2.4638107601013099</v>
      </c>
      <c r="E15">
        <v>2.4160119747735802</v>
      </c>
      <c r="F15">
        <v>2.5125552045990598</v>
      </c>
    </row>
    <row r="16" spans="1:6" ht="15" customHeight="1" x14ac:dyDescent="0.25">
      <c r="A16" s="1">
        <v>42064</v>
      </c>
      <c r="B16" t="s">
        <v>8</v>
      </c>
      <c r="C16" t="s">
        <v>4</v>
      </c>
      <c r="D16">
        <v>2.3411134215246099</v>
      </c>
      <c r="E16">
        <v>2.2954729697720802</v>
      </c>
      <c r="F16">
        <v>2.3876613336844801</v>
      </c>
    </row>
    <row r="17" spans="1:16" ht="15" customHeight="1" x14ac:dyDescent="0.25">
      <c r="A17" s="1">
        <v>42095</v>
      </c>
      <c r="B17" t="s">
        <v>8</v>
      </c>
      <c r="C17" t="s">
        <v>4</v>
      </c>
      <c r="D17">
        <v>2.3661459440222199</v>
      </c>
      <c r="E17">
        <v>2.3197590975501301</v>
      </c>
      <c r="F17">
        <v>2.4134603607441201</v>
      </c>
    </row>
    <row r="18" spans="1:16" ht="15" customHeight="1" x14ac:dyDescent="0.25">
      <c r="A18" s="1">
        <v>42125</v>
      </c>
      <c r="B18" t="s">
        <v>8</v>
      </c>
      <c r="C18" t="s">
        <v>4</v>
      </c>
      <c r="D18">
        <v>2.34771548712847</v>
      </c>
      <c r="E18">
        <v>2.30137873797938</v>
      </c>
      <c r="F18">
        <v>2.39498519628378</v>
      </c>
    </row>
    <row r="19" spans="1:16" ht="15" customHeight="1" x14ac:dyDescent="0.25">
      <c r="A19" s="1">
        <v>42156</v>
      </c>
      <c r="B19" t="s">
        <v>8</v>
      </c>
      <c r="C19" t="s">
        <v>4</v>
      </c>
      <c r="D19">
        <v>2.3574540503365302</v>
      </c>
      <c r="E19">
        <v>2.3111879515170499</v>
      </c>
      <c r="F19">
        <v>2.4046463187038198</v>
      </c>
    </row>
    <row r="20" spans="1:16" ht="15" customHeight="1" x14ac:dyDescent="0.25">
      <c r="A20" s="1">
        <v>42186</v>
      </c>
      <c r="B20" t="s">
        <v>8</v>
      </c>
      <c r="C20" t="s">
        <v>4</v>
      </c>
      <c r="D20">
        <v>2.3999470684899902</v>
      </c>
      <c r="E20">
        <v>2.35110933372335</v>
      </c>
      <c r="F20">
        <v>2.4497992708966301</v>
      </c>
    </row>
    <row r="21" spans="1:16" ht="15" customHeight="1" x14ac:dyDescent="0.25">
      <c r="A21" s="1">
        <v>42217</v>
      </c>
      <c r="B21" t="s">
        <v>8</v>
      </c>
      <c r="C21" t="s">
        <v>4</v>
      </c>
      <c r="D21">
        <v>2.4790047799999999</v>
      </c>
      <c r="E21">
        <v>2.4231456465321499</v>
      </c>
      <c r="F21">
        <v>2.5361515961939198</v>
      </c>
    </row>
    <row r="22" spans="1:16" ht="15" customHeight="1" x14ac:dyDescent="0.25">
      <c r="A22" s="1">
        <v>42248</v>
      </c>
      <c r="B22" t="s">
        <v>8</v>
      </c>
      <c r="C22" t="s">
        <v>4</v>
      </c>
      <c r="D22">
        <v>2.4993246304996899</v>
      </c>
      <c r="E22">
        <v>2.4483813089019399</v>
      </c>
      <c r="F22">
        <v>2.5513279267043298</v>
      </c>
    </row>
    <row r="23" spans="1:16" ht="15" customHeight="1" x14ac:dyDescent="0.25">
      <c r="A23" s="1">
        <v>42278</v>
      </c>
      <c r="B23" t="s">
        <v>8</v>
      </c>
      <c r="C23" t="s">
        <v>4</v>
      </c>
      <c r="D23">
        <v>2.3970749628513399</v>
      </c>
      <c r="E23">
        <v>2.3488988811573499</v>
      </c>
      <c r="F23">
        <v>2.4462391393781799</v>
      </c>
    </row>
    <row r="24" spans="1:16" ht="15" customHeight="1" x14ac:dyDescent="0.25">
      <c r="A24" s="1">
        <v>42309</v>
      </c>
      <c r="B24" t="s">
        <v>8</v>
      </c>
      <c r="C24" t="s">
        <v>4</v>
      </c>
      <c r="D24">
        <v>2.33635114551819</v>
      </c>
      <c r="E24">
        <v>2.2895305627985998</v>
      </c>
      <c r="F24">
        <v>2.3841292026658598</v>
      </c>
    </row>
    <row r="25" spans="1:16" ht="15" customHeight="1" x14ac:dyDescent="0.25">
      <c r="A25" s="1">
        <v>42339</v>
      </c>
      <c r="B25" t="s">
        <v>8</v>
      </c>
      <c r="C25" t="s">
        <v>4</v>
      </c>
      <c r="D25">
        <v>2.2251812424635098</v>
      </c>
      <c r="E25">
        <v>2.1815543275981399</v>
      </c>
      <c r="F25">
        <v>2.2696806122004398</v>
      </c>
    </row>
    <row r="26" spans="1:16" ht="15" customHeight="1" x14ac:dyDescent="0.25">
      <c r="A26" s="1">
        <v>42370</v>
      </c>
      <c r="B26" t="s">
        <v>8</v>
      </c>
      <c r="C26" t="s">
        <v>4</v>
      </c>
      <c r="D26">
        <v>2.2552254740951199</v>
      </c>
      <c r="E26">
        <v>2.21112775711069</v>
      </c>
      <c r="F26">
        <v>2.3002026557043398</v>
      </c>
    </row>
    <row r="27" spans="1:16" ht="15" customHeight="1" x14ac:dyDescent="0.25">
      <c r="A27" s="1">
        <v>42401</v>
      </c>
      <c r="B27" t="s">
        <v>8</v>
      </c>
      <c r="C27" t="s">
        <v>4</v>
      </c>
      <c r="D27">
        <v>2.2551402165107599</v>
      </c>
      <c r="E27">
        <v>2.2107982268603901</v>
      </c>
      <c r="F27">
        <v>2.3003715736403798</v>
      </c>
    </row>
    <row r="28" spans="1:16" ht="15" customHeight="1" x14ac:dyDescent="0.25">
      <c r="A28" s="1">
        <v>42430</v>
      </c>
      <c r="B28" t="s">
        <v>8</v>
      </c>
      <c r="C28" t="s">
        <v>4</v>
      </c>
      <c r="D28">
        <v>2.1074582366614898</v>
      </c>
      <c r="E28">
        <v>2.0659708567666799</v>
      </c>
      <c r="F28">
        <v>2.1497787370647101</v>
      </c>
    </row>
    <row r="29" spans="1:16" ht="15" customHeight="1" x14ac:dyDescent="0.25">
      <c r="A29" s="1">
        <v>42461</v>
      </c>
      <c r="B29" t="s">
        <v>8</v>
      </c>
      <c r="C29" t="s">
        <v>4</v>
      </c>
      <c r="D29">
        <v>2.0158186229164499</v>
      </c>
      <c r="E29">
        <v>1.97611757220361</v>
      </c>
      <c r="F29">
        <v>2.05631728478859</v>
      </c>
      <c r="P29" s="1"/>
    </row>
    <row r="30" spans="1:16" ht="15" customHeight="1" x14ac:dyDescent="0.25">
      <c r="A30" s="1">
        <v>42491</v>
      </c>
      <c r="B30" t="s">
        <v>8</v>
      </c>
      <c r="C30" t="s">
        <v>4</v>
      </c>
      <c r="D30">
        <v>1.9680222648585</v>
      </c>
      <c r="E30">
        <v>1.92932591197512</v>
      </c>
      <c r="F30">
        <v>2.0074947477452101</v>
      </c>
      <c r="P30" s="1"/>
    </row>
    <row r="31" spans="1:16" ht="15" customHeight="1" x14ac:dyDescent="0.25">
      <c r="A31" s="1">
        <v>42522</v>
      </c>
      <c r="B31" t="s">
        <v>8</v>
      </c>
      <c r="C31" t="s">
        <v>4</v>
      </c>
      <c r="D31">
        <v>2.0052087353591799</v>
      </c>
      <c r="E31">
        <v>1.96587142123516</v>
      </c>
      <c r="F31">
        <v>2.0453331936808201</v>
      </c>
      <c r="P31" s="1"/>
    </row>
    <row r="32" spans="1:16" ht="15" customHeight="1" x14ac:dyDescent="0.25">
      <c r="A32" s="1">
        <v>42552</v>
      </c>
      <c r="B32" t="s">
        <v>8</v>
      </c>
      <c r="C32" t="s">
        <v>4</v>
      </c>
      <c r="D32">
        <v>2.0449664803963099</v>
      </c>
      <c r="E32">
        <v>2.00474619770895</v>
      </c>
      <c r="F32">
        <v>2.0859936837508899</v>
      </c>
      <c r="P32" s="1"/>
    </row>
    <row r="33" spans="1:16" ht="15" customHeight="1" x14ac:dyDescent="0.25">
      <c r="A33" s="1">
        <v>42583</v>
      </c>
      <c r="B33" t="s">
        <v>8</v>
      </c>
      <c r="C33" t="s">
        <v>4</v>
      </c>
      <c r="D33">
        <v>2.0861410544166499</v>
      </c>
      <c r="E33">
        <v>2.0444943679293002</v>
      </c>
      <c r="F33">
        <v>2.1286360907564501</v>
      </c>
      <c r="P33" s="1"/>
    </row>
    <row r="34" spans="1:16" ht="15" customHeight="1" x14ac:dyDescent="0.25">
      <c r="A34" s="1">
        <v>42614</v>
      </c>
      <c r="B34" t="s">
        <v>8</v>
      </c>
      <c r="C34" t="s">
        <v>4</v>
      </c>
      <c r="D34">
        <v>2.1516914786871899</v>
      </c>
      <c r="E34">
        <v>2.1089741108508502</v>
      </c>
      <c r="F34">
        <v>2.1952740887782798</v>
      </c>
      <c r="P34" s="1"/>
    </row>
    <row r="35" spans="1:16" ht="15" customHeight="1" x14ac:dyDescent="0.25">
      <c r="A35" s="1">
        <v>42644</v>
      </c>
      <c r="B35" t="s">
        <v>8</v>
      </c>
      <c r="C35" t="s">
        <v>4</v>
      </c>
      <c r="D35">
        <v>2.1469307424478399</v>
      </c>
      <c r="E35">
        <v>2.1042032976314302</v>
      </c>
      <c r="F35">
        <v>2.1905258004566699</v>
      </c>
      <c r="P35" s="1"/>
    </row>
    <row r="36" spans="1:16" ht="15" customHeight="1" x14ac:dyDescent="0.25">
      <c r="A36" s="1">
        <v>42675</v>
      </c>
      <c r="B36" t="s">
        <v>8</v>
      </c>
      <c r="C36" t="s">
        <v>4</v>
      </c>
      <c r="D36">
        <v>2.1271419320748</v>
      </c>
      <c r="E36">
        <v>2.0854364678570598</v>
      </c>
      <c r="F36">
        <v>2.1696814402792199</v>
      </c>
      <c r="P36" s="1"/>
    </row>
    <row r="37" spans="1:16" ht="15" customHeight="1" x14ac:dyDescent="0.25">
      <c r="A37" s="1">
        <v>42705</v>
      </c>
      <c r="B37" t="s">
        <v>8</v>
      </c>
      <c r="C37" t="s">
        <v>4</v>
      </c>
      <c r="D37">
        <v>2.0799050282409302</v>
      </c>
      <c r="E37">
        <v>2.0391285766718301</v>
      </c>
      <c r="F37">
        <v>2.1214968864605002</v>
      </c>
      <c r="P37" s="1"/>
    </row>
    <row r="38" spans="1:16" ht="15" customHeight="1" x14ac:dyDescent="0.25">
      <c r="A38" s="1">
        <v>42736</v>
      </c>
      <c r="B38" t="s">
        <v>8</v>
      </c>
      <c r="C38" t="s">
        <v>4</v>
      </c>
      <c r="D38">
        <v>2.1319834005266198</v>
      </c>
      <c r="E38">
        <v>2.09028171069617</v>
      </c>
      <c r="F38">
        <v>2.1745170504349001</v>
      </c>
      <c r="P38" s="1"/>
    </row>
    <row r="39" spans="1:16" ht="15" customHeight="1" x14ac:dyDescent="0.25">
      <c r="A39" s="1">
        <v>42767</v>
      </c>
      <c r="B39" t="s">
        <v>8</v>
      </c>
      <c r="C39" t="s">
        <v>4</v>
      </c>
      <c r="D39">
        <v>2.1159203727715701</v>
      </c>
      <c r="E39">
        <v>2.0748652283432998</v>
      </c>
      <c r="F39">
        <v>2.1577878711113199</v>
      </c>
      <c r="P39" s="1"/>
    </row>
    <row r="40" spans="1:16" ht="15" customHeight="1" x14ac:dyDescent="0.25">
      <c r="A40" s="1">
        <v>42795</v>
      </c>
      <c r="B40" t="s">
        <v>8</v>
      </c>
      <c r="C40" t="s">
        <v>4</v>
      </c>
      <c r="D40">
        <v>2.0783219195154699</v>
      </c>
      <c r="E40">
        <v>2.0374700189330599</v>
      </c>
      <c r="F40">
        <v>2.1199929132701301</v>
      </c>
      <c r="P40" s="1"/>
    </row>
    <row r="41" spans="1:16" ht="15" customHeight="1" x14ac:dyDescent="0.25">
      <c r="A41" s="1">
        <v>42826</v>
      </c>
      <c r="B41" t="s">
        <v>8</v>
      </c>
      <c r="C41" t="s">
        <v>4</v>
      </c>
      <c r="D41">
        <v>2.1114765768707899</v>
      </c>
      <c r="E41">
        <v>2.0699092818475</v>
      </c>
      <c r="F41">
        <v>2.1538786137983399</v>
      </c>
      <c r="P41" s="1"/>
    </row>
    <row r="42" spans="1:16" ht="15" customHeight="1" x14ac:dyDescent="0.25">
      <c r="A42" s="1">
        <v>42856</v>
      </c>
      <c r="B42" t="s">
        <v>8</v>
      </c>
      <c r="C42" t="s">
        <v>4</v>
      </c>
      <c r="D42">
        <v>2.1474838129417999</v>
      </c>
      <c r="E42">
        <v>2.1051057758536702</v>
      </c>
      <c r="F42">
        <v>2.19071496536885</v>
      </c>
      <c r="P42" s="1"/>
    </row>
    <row r="43" spans="1:16" ht="15" customHeight="1" x14ac:dyDescent="0.25">
      <c r="A43" s="1">
        <v>42887</v>
      </c>
      <c r="B43" t="s">
        <v>8</v>
      </c>
      <c r="C43" t="s">
        <v>4</v>
      </c>
      <c r="D43">
        <v>2.1185943334397002</v>
      </c>
      <c r="E43">
        <v>2.0768621482241301</v>
      </c>
      <c r="F43">
        <v>2.1611650795026298</v>
      </c>
      <c r="P43" s="1"/>
    </row>
    <row r="44" spans="1:16" ht="15" customHeight="1" x14ac:dyDescent="0.25">
      <c r="A44" s="1">
        <v>42917</v>
      </c>
      <c r="B44" t="s">
        <v>8</v>
      </c>
      <c r="C44" t="s">
        <v>4</v>
      </c>
      <c r="D44">
        <v>2.1495733062997302</v>
      </c>
      <c r="E44">
        <v>2.1071985651415202</v>
      </c>
      <c r="F44">
        <v>2.1928001829509598</v>
      </c>
      <c r="P44" s="1"/>
    </row>
    <row r="45" spans="1:16" ht="15" customHeight="1" x14ac:dyDescent="0.25">
      <c r="A45" s="1">
        <v>42948</v>
      </c>
      <c r="B45" t="s">
        <v>8</v>
      </c>
      <c r="C45" t="s">
        <v>4</v>
      </c>
      <c r="D45">
        <v>2.1494431299237098</v>
      </c>
      <c r="E45">
        <v>2.1065518156667999</v>
      </c>
      <c r="F45">
        <v>2.1932077504173901</v>
      </c>
      <c r="P45" s="1"/>
    </row>
    <row r="46" spans="1:16" ht="15" customHeight="1" x14ac:dyDescent="0.25">
      <c r="A46" s="1">
        <v>42979</v>
      </c>
      <c r="B46" t="s">
        <v>8</v>
      </c>
      <c r="C46" t="s">
        <v>4</v>
      </c>
      <c r="D46">
        <v>2.1882957312904301</v>
      </c>
      <c r="E46">
        <v>2.1452237190544099</v>
      </c>
      <c r="F46">
        <v>2.2322325476126599</v>
      </c>
      <c r="P46" s="1"/>
    </row>
    <row r="47" spans="1:16" ht="15" customHeight="1" x14ac:dyDescent="0.25">
      <c r="A47" s="1">
        <v>43009</v>
      </c>
      <c r="B47" t="s">
        <v>8</v>
      </c>
      <c r="C47" t="s">
        <v>4</v>
      </c>
      <c r="D47">
        <v>2.2174597706257</v>
      </c>
      <c r="E47">
        <v>2.1739576954525899</v>
      </c>
      <c r="F47">
        <v>2.2618323459692302</v>
      </c>
      <c r="P47" s="1"/>
    </row>
    <row r="48" spans="1:16" ht="15" customHeight="1" x14ac:dyDescent="0.25">
      <c r="A48" s="1">
        <v>43040</v>
      </c>
      <c r="B48" t="s">
        <v>8</v>
      </c>
      <c r="C48" t="s">
        <v>4</v>
      </c>
      <c r="D48">
        <v>2.20566785383821</v>
      </c>
      <c r="E48">
        <v>2.16199098987091</v>
      </c>
      <c r="F48">
        <v>2.25022708431626</v>
      </c>
      <c r="P48" s="1"/>
    </row>
    <row r="49" spans="1:16" ht="15" customHeight="1" x14ac:dyDescent="0.25">
      <c r="A49" s="1">
        <v>43070</v>
      </c>
      <c r="B49" t="s">
        <v>8</v>
      </c>
      <c r="C49" t="s">
        <v>4</v>
      </c>
      <c r="D49">
        <v>2.0664790334977199</v>
      </c>
      <c r="E49">
        <v>2.0258677822428699</v>
      </c>
      <c r="F49">
        <v>2.1079043920417799</v>
      </c>
      <c r="P49" s="1"/>
    </row>
    <row r="50" spans="1:16" ht="15" customHeight="1" x14ac:dyDescent="0.25">
      <c r="A50" s="1">
        <v>43101</v>
      </c>
      <c r="B50" t="s">
        <v>8</v>
      </c>
      <c r="C50" t="s">
        <v>4</v>
      </c>
      <c r="D50">
        <v>2.0674411737941898</v>
      </c>
      <c r="E50">
        <v>2.0271107974678602</v>
      </c>
      <c r="F50">
        <v>2.1085739429925101</v>
      </c>
      <c r="P50" s="1"/>
    </row>
    <row r="51" spans="1:16" ht="15" customHeight="1" x14ac:dyDescent="0.25">
      <c r="A51" s="1">
        <v>43132</v>
      </c>
      <c r="B51" t="s">
        <v>8</v>
      </c>
      <c r="C51" t="s">
        <v>4</v>
      </c>
      <c r="D51">
        <v>2.0833297796897101</v>
      </c>
      <c r="E51">
        <v>2.0423628029493499</v>
      </c>
      <c r="F51">
        <v>2.1251184973963801</v>
      </c>
      <c r="P51" s="1"/>
    </row>
    <row r="52" spans="1:16" ht="15" customHeight="1" x14ac:dyDescent="0.25">
      <c r="A52" s="1">
        <v>43160</v>
      </c>
      <c r="B52" t="s">
        <v>8</v>
      </c>
      <c r="C52" t="s">
        <v>4</v>
      </c>
      <c r="D52">
        <v>2.0487216891958999</v>
      </c>
      <c r="E52">
        <v>2.0058692658023398</v>
      </c>
      <c r="F52">
        <v>2.0924895910914798</v>
      </c>
      <c r="P52" s="1"/>
    </row>
    <row r="53" spans="1:16" ht="15" customHeight="1" x14ac:dyDescent="0.25">
      <c r="A53" s="1">
        <v>43191</v>
      </c>
      <c r="B53" t="s">
        <v>8</v>
      </c>
      <c r="C53" t="s">
        <v>4</v>
      </c>
      <c r="D53">
        <v>2.0342697291345901</v>
      </c>
      <c r="E53">
        <v>1.99338237798937</v>
      </c>
      <c r="F53">
        <v>2.07599574299809</v>
      </c>
      <c r="P53" s="1"/>
    </row>
    <row r="54" spans="1:16" ht="15" customHeight="1" x14ac:dyDescent="0.25">
      <c r="A54" s="1">
        <v>43221</v>
      </c>
      <c r="B54" t="s">
        <v>8</v>
      </c>
      <c r="C54" t="s">
        <v>4</v>
      </c>
      <c r="D54">
        <v>2.0219912046990598</v>
      </c>
      <c r="E54">
        <v>1.96887494047487</v>
      </c>
      <c r="F54">
        <v>2.0765404383146202</v>
      </c>
      <c r="P54" s="1"/>
    </row>
    <row r="55" spans="1:16" ht="15" customHeight="1" x14ac:dyDescent="0.25">
      <c r="A55" s="1">
        <v>43252</v>
      </c>
      <c r="B55" t="s">
        <v>8</v>
      </c>
      <c r="C55" t="s">
        <v>4</v>
      </c>
      <c r="D55">
        <v>2.0194289406425199</v>
      </c>
      <c r="E55">
        <v>1.9570490389416</v>
      </c>
      <c r="F55">
        <v>2.0837971686749701</v>
      </c>
      <c r="P55" s="1"/>
    </row>
    <row r="56" spans="1:16" ht="15" customHeight="1" x14ac:dyDescent="0.25">
      <c r="A56" s="1">
        <v>43282</v>
      </c>
      <c r="B56" t="s">
        <v>8</v>
      </c>
      <c r="C56" t="s">
        <v>4</v>
      </c>
      <c r="D56">
        <v>2.0570011252786999</v>
      </c>
      <c r="E56">
        <v>1.98386971364932</v>
      </c>
      <c r="F56">
        <v>2.1328283809597801</v>
      </c>
      <c r="P56" s="1"/>
    </row>
    <row r="57" spans="1:16" ht="15" customHeight="1" x14ac:dyDescent="0.25">
      <c r="A57" s="1">
        <v>43313</v>
      </c>
      <c r="B57" t="s">
        <v>8</v>
      </c>
      <c r="C57" t="s">
        <v>4</v>
      </c>
      <c r="D57">
        <v>2.0913517860873099</v>
      </c>
      <c r="E57">
        <v>2.0086561339246298</v>
      </c>
      <c r="F57">
        <v>2.1774519885715198</v>
      </c>
      <c r="P57" s="1"/>
    </row>
    <row r="58" spans="1:16" ht="15" customHeight="1" x14ac:dyDescent="0.25">
      <c r="A58" s="1">
        <v>43344</v>
      </c>
      <c r="B58" t="s">
        <v>8</v>
      </c>
      <c r="C58" t="s">
        <v>4</v>
      </c>
      <c r="D58">
        <v>2.12742277417783</v>
      </c>
      <c r="E58">
        <v>2.0359478854724098</v>
      </c>
      <c r="F58">
        <v>2.2230076184098002</v>
      </c>
      <c r="P58" s="1"/>
    </row>
    <row r="59" spans="1:16" ht="15" customHeight="1" x14ac:dyDescent="0.25">
      <c r="A59" s="1">
        <v>43374</v>
      </c>
      <c r="B59" t="s">
        <v>8</v>
      </c>
      <c r="C59" t="s">
        <v>4</v>
      </c>
      <c r="D59">
        <v>2.1195887444184001</v>
      </c>
      <c r="E59">
        <v>2.0226477010786699</v>
      </c>
      <c r="F59">
        <v>2.2211759581608099</v>
      </c>
      <c r="P59" s="1"/>
    </row>
    <row r="60" spans="1:16" ht="15" customHeight="1" x14ac:dyDescent="0.25">
      <c r="A60" s="1">
        <v>43405</v>
      </c>
      <c r="B60" t="s">
        <v>8</v>
      </c>
      <c r="C60" t="s">
        <v>4</v>
      </c>
      <c r="D60">
        <v>2.0993457269039402</v>
      </c>
      <c r="E60">
        <v>1.9966554720626699</v>
      </c>
      <c r="F60">
        <v>2.2073174579873198</v>
      </c>
      <c r="P60" s="1"/>
    </row>
    <row r="61" spans="1:16" ht="15" customHeight="1" x14ac:dyDescent="0.25">
      <c r="A61" s="1">
        <v>43435</v>
      </c>
      <c r="B61" t="s">
        <v>8</v>
      </c>
      <c r="C61" t="s">
        <v>4</v>
      </c>
      <c r="D61">
        <v>2.0138196301201501</v>
      </c>
      <c r="E61">
        <v>1.9082559276148301</v>
      </c>
      <c r="F61">
        <v>2.1252230604761002</v>
      </c>
      <c r="P61" s="1"/>
    </row>
    <row r="62" spans="1:16" ht="15" customHeight="1" x14ac:dyDescent="0.25">
      <c r="A62" s="1">
        <v>43466</v>
      </c>
      <c r="B62" t="s">
        <v>8</v>
      </c>
      <c r="C62" t="s">
        <v>4</v>
      </c>
      <c r="D62">
        <v>2.0396202522616198</v>
      </c>
      <c r="E62">
        <v>1.9274192036347899</v>
      </c>
      <c r="F62">
        <v>2.1583528718561098</v>
      </c>
      <c r="P62" s="1"/>
    </row>
    <row r="63" spans="1:16" ht="15" customHeight="1" x14ac:dyDescent="0.25">
      <c r="A63" s="1">
        <v>43497</v>
      </c>
      <c r="B63" t="s">
        <v>8</v>
      </c>
      <c r="C63" t="s">
        <v>4</v>
      </c>
      <c r="D63">
        <v>2.0262308712116202</v>
      </c>
      <c r="E63">
        <v>1.90879030403262</v>
      </c>
      <c r="F63">
        <v>2.1508971073340302</v>
      </c>
      <c r="P63" s="1"/>
    </row>
    <row r="64" spans="1:16" ht="15" customHeight="1" x14ac:dyDescent="0.25">
      <c r="A64" s="1">
        <v>43525</v>
      </c>
      <c r="B64" t="s">
        <v>8</v>
      </c>
      <c r="C64" t="s">
        <v>4</v>
      </c>
      <c r="D64">
        <v>1.9566527299221499</v>
      </c>
      <c r="E64">
        <v>1.8376365514442901</v>
      </c>
      <c r="F64">
        <v>2.0833770978830501</v>
      </c>
      <c r="P64" s="1"/>
    </row>
    <row r="65" spans="1:16" ht="15" customHeight="1" x14ac:dyDescent="0.25">
      <c r="A65" s="1">
        <v>43556</v>
      </c>
      <c r="B65" t="s">
        <v>8</v>
      </c>
      <c r="C65" t="s">
        <v>4</v>
      </c>
      <c r="D65">
        <v>1.9454545671952299</v>
      </c>
      <c r="E65">
        <v>1.8195674335159899</v>
      </c>
      <c r="F65">
        <v>2.08005122717949</v>
      </c>
      <c r="P65" s="1"/>
    </row>
    <row r="66" spans="1:16" ht="15" customHeight="1" x14ac:dyDescent="0.25">
      <c r="A66" s="1">
        <v>43586</v>
      </c>
      <c r="B66" t="s">
        <v>8</v>
      </c>
      <c r="C66" t="s">
        <v>4</v>
      </c>
      <c r="D66">
        <v>1.93472160564234</v>
      </c>
      <c r="E66">
        <v>1.8027381626537999</v>
      </c>
      <c r="F66">
        <v>2.07636792124543</v>
      </c>
      <c r="P66" s="1"/>
    </row>
    <row r="67" spans="1:16" ht="15" customHeight="1" x14ac:dyDescent="0.25">
      <c r="A67" s="1">
        <v>43617</v>
      </c>
      <c r="B67" t="s">
        <v>8</v>
      </c>
      <c r="C67" t="s">
        <v>4</v>
      </c>
      <c r="D67">
        <v>1.9333122990481499</v>
      </c>
      <c r="E67">
        <v>1.7945569403067101</v>
      </c>
      <c r="F67">
        <v>2.0827962388376702</v>
      </c>
      <c r="P67" s="1"/>
    </row>
    <row r="68" spans="1:16" ht="15" customHeight="1" x14ac:dyDescent="0.25">
      <c r="A68" s="1">
        <v>43647</v>
      </c>
      <c r="B68" t="s">
        <v>8</v>
      </c>
      <c r="C68" t="s">
        <v>4</v>
      </c>
      <c r="D68">
        <v>1.9677411717933899</v>
      </c>
      <c r="E68">
        <v>1.8201218586280801</v>
      </c>
      <c r="F68">
        <v>2.12733301389467</v>
      </c>
      <c r="P68" s="1"/>
    </row>
    <row r="69" spans="1:16" ht="15" customHeight="1" x14ac:dyDescent="0.25">
      <c r="A69" s="1">
        <v>43678</v>
      </c>
      <c r="B69" t="s">
        <v>8</v>
      </c>
      <c r="C69" t="s">
        <v>4</v>
      </c>
      <c r="D69">
        <v>1.99898349019241</v>
      </c>
      <c r="E69">
        <v>1.84221974868559</v>
      </c>
      <c r="F69">
        <v>2.1690870467070398</v>
      </c>
      <c r="P69" s="1"/>
    </row>
    <row r="70" spans="1:16" ht="15" customHeight="1" x14ac:dyDescent="0.25">
      <c r="A70" s="1">
        <v>43709</v>
      </c>
      <c r="B70" t="s">
        <v>8</v>
      </c>
      <c r="C70" t="s">
        <v>4</v>
      </c>
      <c r="D70">
        <v>2.0318170109417801</v>
      </c>
      <c r="E70">
        <v>1.8659669326474599</v>
      </c>
      <c r="F70">
        <v>2.21240810526858</v>
      </c>
      <c r="P70" s="1"/>
    </row>
    <row r="71" spans="1:16" ht="15" customHeight="1" x14ac:dyDescent="0.25">
      <c r="A71" s="1">
        <v>43739</v>
      </c>
      <c r="B71" t="s">
        <v>8</v>
      </c>
      <c r="C71" t="s">
        <v>4</v>
      </c>
      <c r="D71">
        <v>2.02380104431281</v>
      </c>
      <c r="E71">
        <v>1.85242610533744</v>
      </c>
      <c r="F71">
        <v>2.21103052648651</v>
      </c>
      <c r="P71" s="1"/>
    </row>
    <row r="72" spans="1:16" ht="15" customHeight="1" x14ac:dyDescent="0.25">
      <c r="A72" s="1">
        <v>43770</v>
      </c>
      <c r="B72" t="s">
        <v>8</v>
      </c>
      <c r="C72" t="s">
        <v>4</v>
      </c>
      <c r="D72">
        <v>2.00392646274635</v>
      </c>
      <c r="E72">
        <v>1.82770603359767</v>
      </c>
      <c r="F72">
        <v>2.1971373920512498</v>
      </c>
      <c r="P72" s="1"/>
    </row>
    <row r="73" spans="1:16" ht="15" customHeight="1" x14ac:dyDescent="0.25">
      <c r="A73" s="1">
        <v>43800</v>
      </c>
      <c r="B73" t="s">
        <v>8</v>
      </c>
      <c r="C73" t="s">
        <v>4</v>
      </c>
      <c r="D73">
        <v>1.9217806130536901</v>
      </c>
      <c r="E73">
        <v>1.7464235002916899</v>
      </c>
      <c r="F73">
        <v>2.1147452058977501</v>
      </c>
      <c r="P73" s="1"/>
    </row>
    <row r="74" spans="1:16" ht="15" customHeight="1" x14ac:dyDescent="0.25">
      <c r="A74" s="1">
        <v>43831</v>
      </c>
      <c r="B74" t="s">
        <v>8</v>
      </c>
      <c r="C74" t="s">
        <v>4</v>
      </c>
      <c r="D74">
        <v>1.94693864361839</v>
      </c>
      <c r="E74">
        <v>1.7640129075697</v>
      </c>
      <c r="F74">
        <v>2.14883352936284</v>
      </c>
      <c r="P74" s="1"/>
    </row>
    <row r="75" spans="1:16" ht="15" customHeight="1" x14ac:dyDescent="0.25">
      <c r="A75" s="1">
        <v>43862</v>
      </c>
      <c r="B75" t="s">
        <v>8</v>
      </c>
      <c r="C75" t="s">
        <v>4</v>
      </c>
      <c r="D75">
        <v>1.93469090121025</v>
      </c>
      <c r="E75">
        <v>1.74714958098355</v>
      </c>
      <c r="F75">
        <v>2.1423631519395299</v>
      </c>
      <c r="P75" s="1"/>
    </row>
    <row r="76" spans="1:16" ht="15" customHeight="1" x14ac:dyDescent="0.25">
      <c r="A76" s="1">
        <v>43891</v>
      </c>
      <c r="B76" t="s">
        <v>8</v>
      </c>
      <c r="C76" t="s">
        <v>4</v>
      </c>
      <c r="D76">
        <v>1.8687213230091999</v>
      </c>
      <c r="E76">
        <v>1.68208971302907</v>
      </c>
      <c r="F76">
        <v>2.0760601268886698</v>
      </c>
      <c r="P76" s="1"/>
    </row>
    <row r="77" spans="1:16" ht="15" customHeight="1" x14ac:dyDescent="0.25">
      <c r="A77" s="1">
        <v>43922</v>
      </c>
      <c r="B77" t="s">
        <v>8</v>
      </c>
      <c r="C77" t="s">
        <v>4</v>
      </c>
      <c r="D77">
        <v>1.8585274942227801</v>
      </c>
      <c r="E77">
        <v>1.6660766366273001</v>
      </c>
      <c r="F77">
        <v>2.0732086212878702</v>
      </c>
      <c r="P77" s="1"/>
    </row>
    <row r="78" spans="1:16" ht="15" customHeight="1" x14ac:dyDescent="0.25">
      <c r="A78" s="1">
        <v>43952</v>
      </c>
      <c r="B78" t="s">
        <v>8</v>
      </c>
      <c r="C78" t="s">
        <v>4</v>
      </c>
      <c r="D78">
        <v>1.84875648451084</v>
      </c>
      <c r="E78">
        <v>1.6510112379189199</v>
      </c>
      <c r="F78">
        <v>2.0701861141351801</v>
      </c>
      <c r="P78" s="1"/>
    </row>
    <row r="79" spans="1:16" ht="15" customHeight="1" x14ac:dyDescent="0.25">
      <c r="A79" s="1">
        <v>43983</v>
      </c>
      <c r="B79" t="s">
        <v>8</v>
      </c>
      <c r="C79" t="s">
        <v>4</v>
      </c>
      <c r="D79">
        <v>1.84790802592695</v>
      </c>
      <c r="E79">
        <v>1.64362261181462</v>
      </c>
      <c r="F79">
        <v>2.0775840194332802</v>
      </c>
      <c r="P79" s="1"/>
    </row>
    <row r="80" spans="1:16" ht="15" customHeight="1" x14ac:dyDescent="0.25">
      <c r="A80" s="1">
        <v>44013</v>
      </c>
      <c r="B80" t="s">
        <v>8</v>
      </c>
      <c r="C80" t="s">
        <v>4</v>
      </c>
      <c r="D80">
        <v>1.88130687284633</v>
      </c>
      <c r="E80">
        <v>1.66748910148047</v>
      </c>
      <c r="F80">
        <v>2.1225419384609299</v>
      </c>
      <c r="P80" s="1"/>
    </row>
    <row r="81" spans="1:16" ht="15" customHeight="1" x14ac:dyDescent="0.25">
      <c r="A81" s="1">
        <v>44044</v>
      </c>
      <c r="B81" t="s">
        <v>8</v>
      </c>
      <c r="C81" t="s">
        <v>4</v>
      </c>
      <c r="D81">
        <v>1.91169227820652</v>
      </c>
      <c r="E81">
        <v>1.6880939387442</v>
      </c>
      <c r="F81">
        <v>2.1649075816675998</v>
      </c>
      <c r="P81" s="1"/>
    </row>
    <row r="82" spans="1:16" ht="15" customHeight="1" x14ac:dyDescent="0.25">
      <c r="A82" s="1">
        <v>44075</v>
      </c>
      <c r="B82" t="s">
        <v>8</v>
      </c>
      <c r="C82" t="s">
        <v>4</v>
      </c>
      <c r="D82">
        <v>1.9436160644551299</v>
      </c>
      <c r="E82">
        <v>1.71017131439487</v>
      </c>
      <c r="F82">
        <v>2.2089268918329101</v>
      </c>
      <c r="P82" s="1"/>
    </row>
    <row r="83" spans="1:16" ht="15" customHeight="1" x14ac:dyDescent="0.25">
      <c r="A83" s="1">
        <v>44105</v>
      </c>
      <c r="B83" t="s">
        <v>8</v>
      </c>
      <c r="C83" t="s">
        <v>4</v>
      </c>
      <c r="D83">
        <v>1.9339061563607101</v>
      </c>
      <c r="E83">
        <v>1.6952905452326099</v>
      </c>
      <c r="F83">
        <v>2.20610740272648</v>
      </c>
      <c r="P83" s="1"/>
    </row>
    <row r="84" spans="1:16" ht="15" customHeight="1" x14ac:dyDescent="0.25">
      <c r="A84" s="1">
        <v>44136</v>
      </c>
      <c r="B84" t="s">
        <v>8</v>
      </c>
      <c r="C84" t="s">
        <v>4</v>
      </c>
      <c r="D84">
        <v>1.9128273643181</v>
      </c>
      <c r="E84">
        <v>1.6704482053860801</v>
      </c>
      <c r="F84">
        <v>2.1903753219564699</v>
      </c>
      <c r="P84" s="1"/>
    </row>
    <row r="85" spans="1:16" ht="15" customHeight="1" x14ac:dyDescent="0.25">
      <c r="A85" s="1">
        <v>44166</v>
      </c>
      <c r="B85" t="s">
        <v>8</v>
      </c>
      <c r="C85" t="s">
        <v>4</v>
      </c>
      <c r="D85">
        <v>1.83248106555909</v>
      </c>
      <c r="E85">
        <v>1.5944013047908201</v>
      </c>
      <c r="F85">
        <v>2.1061114573492801</v>
      </c>
      <c r="P85" s="1"/>
    </row>
    <row r="86" spans="1:16" ht="15" customHeight="1" x14ac:dyDescent="0.25">
      <c r="A86" s="1">
        <v>41640</v>
      </c>
      <c r="B86" t="s">
        <v>8</v>
      </c>
      <c r="C86" t="s">
        <v>6</v>
      </c>
      <c r="D86">
        <v>2.7773818652850699</v>
      </c>
      <c r="E86">
        <v>2.71950772709287</v>
      </c>
      <c r="F86">
        <v>2.8364876292741399</v>
      </c>
      <c r="P86" s="1"/>
    </row>
    <row r="87" spans="1:16" ht="15" customHeight="1" x14ac:dyDescent="0.25">
      <c r="A87" s="1">
        <v>41671</v>
      </c>
      <c r="B87" t="s">
        <v>8</v>
      </c>
      <c r="C87" t="s">
        <v>6</v>
      </c>
      <c r="D87">
        <v>2.6908123177554102</v>
      </c>
      <c r="E87">
        <v>2.6384731145750702</v>
      </c>
      <c r="F87">
        <v>2.7441897699800202</v>
      </c>
      <c r="P87" s="1"/>
    </row>
    <row r="88" spans="1:16" ht="15" customHeight="1" x14ac:dyDescent="0.25">
      <c r="A88" s="1">
        <v>41699</v>
      </c>
      <c r="B88" t="s">
        <v>8</v>
      </c>
      <c r="C88" t="s">
        <v>6</v>
      </c>
      <c r="D88">
        <v>2.6115590809242599</v>
      </c>
      <c r="E88">
        <v>2.5603980168629001</v>
      </c>
      <c r="F88">
        <v>2.66374242920027</v>
      </c>
      <c r="P88" s="1"/>
    </row>
    <row r="89" spans="1:16" ht="15" customHeight="1" x14ac:dyDescent="0.25">
      <c r="A89" s="1">
        <v>41730</v>
      </c>
      <c r="B89" t="s">
        <v>8</v>
      </c>
      <c r="C89" t="s">
        <v>6</v>
      </c>
      <c r="D89">
        <v>2.5871640030646099</v>
      </c>
      <c r="E89">
        <v>2.5364407164990799</v>
      </c>
      <c r="F89">
        <v>2.6389016448182101</v>
      </c>
      <c r="P89" s="1"/>
    </row>
    <row r="90" spans="1:16" ht="15" customHeight="1" x14ac:dyDescent="0.25">
      <c r="A90" s="1">
        <v>41760</v>
      </c>
      <c r="B90" t="s">
        <v>8</v>
      </c>
      <c r="C90" t="s">
        <v>6</v>
      </c>
      <c r="D90">
        <v>2.55779407918337</v>
      </c>
      <c r="E90">
        <v>2.5075051651271401</v>
      </c>
      <c r="F90">
        <v>2.6090915554201</v>
      </c>
      <c r="P90" s="1"/>
    </row>
    <row r="91" spans="1:16" ht="15" customHeight="1" x14ac:dyDescent="0.25">
      <c r="A91" s="1">
        <v>41791</v>
      </c>
      <c r="B91" t="s">
        <v>8</v>
      </c>
      <c r="C91" t="s">
        <v>6</v>
      </c>
      <c r="D91">
        <v>2.5032737781077801</v>
      </c>
      <c r="E91">
        <v>2.4541370968287</v>
      </c>
      <c r="F91">
        <v>2.5533942729848298</v>
      </c>
      <c r="P91" s="1"/>
    </row>
    <row r="92" spans="1:16" ht="15" customHeight="1" x14ac:dyDescent="0.25">
      <c r="A92" s="1">
        <v>41821</v>
      </c>
      <c r="B92" t="s">
        <v>8</v>
      </c>
      <c r="C92" t="s">
        <v>6</v>
      </c>
      <c r="D92">
        <v>2.5537242790044101</v>
      </c>
      <c r="E92">
        <v>2.5034295034395901</v>
      </c>
      <c r="F92">
        <v>2.6050294942263701</v>
      </c>
      <c r="P92" s="1"/>
    </row>
    <row r="93" spans="1:16" ht="15" customHeight="1" x14ac:dyDescent="0.25">
      <c r="A93" s="1">
        <v>41852</v>
      </c>
      <c r="B93" t="s">
        <v>8</v>
      </c>
      <c r="C93" t="s">
        <v>6</v>
      </c>
      <c r="D93">
        <v>2.6070677771857498</v>
      </c>
      <c r="E93">
        <v>2.5550443406431498</v>
      </c>
      <c r="F93">
        <v>2.6601504665587798</v>
      </c>
      <c r="P93" s="1"/>
    </row>
    <row r="94" spans="1:16" ht="15" customHeight="1" x14ac:dyDescent="0.25">
      <c r="A94" s="1">
        <v>41883</v>
      </c>
      <c r="B94" t="s">
        <v>8</v>
      </c>
      <c r="C94" t="s">
        <v>6</v>
      </c>
      <c r="D94">
        <v>2.5919903203354999</v>
      </c>
      <c r="E94">
        <v>2.5408796981046202</v>
      </c>
      <c r="F94">
        <v>2.6441290493700098</v>
      </c>
      <c r="P94" s="1"/>
    </row>
    <row r="95" spans="1:16" ht="15" customHeight="1" x14ac:dyDescent="0.25">
      <c r="A95" s="1">
        <v>41913</v>
      </c>
      <c r="B95" t="s">
        <v>8</v>
      </c>
      <c r="C95" t="s">
        <v>6</v>
      </c>
      <c r="D95">
        <v>2.5980130636126102</v>
      </c>
      <c r="E95">
        <v>2.5470712245654501</v>
      </c>
      <c r="F95">
        <v>2.6499737477318899</v>
      </c>
      <c r="P95" s="1"/>
    </row>
    <row r="96" spans="1:16" ht="15" customHeight="1" x14ac:dyDescent="0.25">
      <c r="A96" s="1">
        <v>41944</v>
      </c>
      <c r="B96" t="s">
        <v>8</v>
      </c>
      <c r="C96" t="s">
        <v>6</v>
      </c>
      <c r="D96">
        <v>2.5613010620017298</v>
      </c>
      <c r="E96">
        <v>2.5110160094055298</v>
      </c>
      <c r="F96">
        <v>2.6125931119667798</v>
      </c>
      <c r="P96" s="1"/>
    </row>
    <row r="97" spans="1:16" ht="15" customHeight="1" x14ac:dyDescent="0.25">
      <c r="A97" s="1">
        <v>41974</v>
      </c>
      <c r="B97" t="s">
        <v>8</v>
      </c>
      <c r="C97" t="s">
        <v>6</v>
      </c>
      <c r="D97">
        <v>2.4546945766625101</v>
      </c>
      <c r="E97">
        <v>2.4065246171834</v>
      </c>
      <c r="F97">
        <v>2.5038287253211799</v>
      </c>
      <c r="P97" s="1"/>
    </row>
    <row r="98" spans="1:16" ht="15" customHeight="1" x14ac:dyDescent="0.25">
      <c r="A98" s="1">
        <v>42005</v>
      </c>
      <c r="B98" t="s">
        <v>8</v>
      </c>
      <c r="C98" t="s">
        <v>6</v>
      </c>
      <c r="D98">
        <v>2.4906792345350501</v>
      </c>
      <c r="E98">
        <v>2.4417426711064398</v>
      </c>
      <c r="F98">
        <v>2.5405965676690698</v>
      </c>
      <c r="P98" s="1"/>
    </row>
    <row r="99" spans="1:16" ht="15" customHeight="1" x14ac:dyDescent="0.25">
      <c r="A99" s="1">
        <v>42036</v>
      </c>
      <c r="B99" t="s">
        <v>8</v>
      </c>
      <c r="C99" t="s">
        <v>6</v>
      </c>
      <c r="D99">
        <v>2.4638107601013099</v>
      </c>
      <c r="E99">
        <v>2.4160119747735802</v>
      </c>
      <c r="F99">
        <v>2.5125552045990598</v>
      </c>
      <c r="P99" s="1"/>
    </row>
    <row r="100" spans="1:16" ht="15" customHeight="1" x14ac:dyDescent="0.25">
      <c r="A100" s="1">
        <v>42064</v>
      </c>
      <c r="B100" t="s">
        <v>8</v>
      </c>
      <c r="C100" t="s">
        <v>6</v>
      </c>
      <c r="D100">
        <v>2.3411134215246099</v>
      </c>
      <c r="E100">
        <v>2.2954729697720802</v>
      </c>
      <c r="F100">
        <v>2.3876613336844801</v>
      </c>
      <c r="P100" s="1"/>
    </row>
    <row r="101" spans="1:16" ht="15" customHeight="1" x14ac:dyDescent="0.25">
      <c r="A101" s="1">
        <v>42095</v>
      </c>
      <c r="B101" t="s">
        <v>8</v>
      </c>
      <c r="C101" t="s">
        <v>6</v>
      </c>
      <c r="D101">
        <v>2.3661459440222199</v>
      </c>
      <c r="E101">
        <v>2.3197590975501301</v>
      </c>
      <c r="F101">
        <v>2.4134603607441201</v>
      </c>
      <c r="P101" s="1"/>
    </row>
    <row r="102" spans="1:16" ht="15" customHeight="1" x14ac:dyDescent="0.25">
      <c r="A102" s="1">
        <v>42125</v>
      </c>
      <c r="B102" t="s">
        <v>8</v>
      </c>
      <c r="C102" t="s">
        <v>6</v>
      </c>
      <c r="D102">
        <v>2.34771548712847</v>
      </c>
      <c r="E102">
        <v>2.30137873797938</v>
      </c>
      <c r="F102">
        <v>2.39498519628378</v>
      </c>
      <c r="P102" s="1"/>
    </row>
    <row r="103" spans="1:16" ht="15" customHeight="1" x14ac:dyDescent="0.25">
      <c r="A103" s="1">
        <v>42156</v>
      </c>
      <c r="B103" t="s">
        <v>8</v>
      </c>
      <c r="C103" t="s">
        <v>6</v>
      </c>
      <c r="D103">
        <v>2.3574540503365302</v>
      </c>
      <c r="E103">
        <v>2.3111879515170499</v>
      </c>
      <c r="F103">
        <v>2.4046463187038198</v>
      </c>
    </row>
    <row r="104" spans="1:16" ht="15" customHeight="1" x14ac:dyDescent="0.25">
      <c r="A104" s="1">
        <v>42186</v>
      </c>
      <c r="B104" t="s">
        <v>8</v>
      </c>
      <c r="C104" t="s">
        <v>6</v>
      </c>
      <c r="D104">
        <v>2.3999470684899902</v>
      </c>
      <c r="E104">
        <v>2.35110933372335</v>
      </c>
      <c r="F104">
        <v>2.4497992708966301</v>
      </c>
    </row>
    <row r="105" spans="1:16" ht="15" customHeight="1" x14ac:dyDescent="0.25">
      <c r="A105" s="1">
        <v>42217</v>
      </c>
      <c r="B105" t="s">
        <v>8</v>
      </c>
      <c r="C105" t="s">
        <v>6</v>
      </c>
      <c r="D105">
        <v>2.4790047799999999</v>
      </c>
      <c r="E105">
        <v>2.4231456465321499</v>
      </c>
      <c r="F105">
        <v>2.5361515961939198</v>
      </c>
    </row>
    <row r="106" spans="1:16" ht="15" customHeight="1" x14ac:dyDescent="0.25">
      <c r="A106" s="1">
        <v>42248</v>
      </c>
      <c r="B106" t="s">
        <v>8</v>
      </c>
      <c r="C106" t="s">
        <v>6</v>
      </c>
      <c r="D106">
        <v>2.4993246304996899</v>
      </c>
      <c r="E106">
        <v>2.4483813089019399</v>
      </c>
      <c r="F106">
        <v>2.5513279267043298</v>
      </c>
    </row>
    <row r="107" spans="1:16" ht="15" customHeight="1" x14ac:dyDescent="0.25">
      <c r="A107" s="1">
        <v>42278</v>
      </c>
      <c r="B107" t="s">
        <v>8</v>
      </c>
      <c r="C107" t="s">
        <v>6</v>
      </c>
      <c r="D107">
        <v>2.3970749628513399</v>
      </c>
      <c r="E107">
        <v>2.3488988811573499</v>
      </c>
      <c r="F107">
        <v>2.4462391393781799</v>
      </c>
    </row>
    <row r="108" spans="1:16" ht="15" customHeight="1" x14ac:dyDescent="0.25">
      <c r="A108" s="1">
        <v>42309</v>
      </c>
      <c r="B108" t="s">
        <v>8</v>
      </c>
      <c r="C108" t="s">
        <v>6</v>
      </c>
      <c r="D108">
        <v>2.33635114551819</v>
      </c>
      <c r="E108">
        <v>2.2895305627985998</v>
      </c>
      <c r="F108">
        <v>2.3841292026658598</v>
      </c>
    </row>
    <row r="109" spans="1:16" ht="15" customHeight="1" x14ac:dyDescent="0.25">
      <c r="A109" s="1">
        <v>42339</v>
      </c>
      <c r="B109" t="s">
        <v>8</v>
      </c>
      <c r="C109" t="s">
        <v>6</v>
      </c>
      <c r="D109">
        <v>2.2251812424635098</v>
      </c>
      <c r="E109">
        <v>2.1815543275981399</v>
      </c>
      <c r="F109">
        <v>2.2696806122004398</v>
      </c>
    </row>
    <row r="110" spans="1:16" ht="15" customHeight="1" x14ac:dyDescent="0.25">
      <c r="A110" s="1">
        <v>42370</v>
      </c>
      <c r="B110" t="s">
        <v>8</v>
      </c>
      <c r="C110" t="s">
        <v>6</v>
      </c>
      <c r="D110">
        <v>2.2552254740951199</v>
      </c>
      <c r="E110">
        <v>2.21112775711069</v>
      </c>
      <c r="F110">
        <v>2.3002026557043398</v>
      </c>
    </row>
    <row r="111" spans="1:16" ht="15" customHeight="1" x14ac:dyDescent="0.25">
      <c r="A111" s="1">
        <v>42401</v>
      </c>
      <c r="B111" t="s">
        <v>8</v>
      </c>
      <c r="C111" t="s">
        <v>6</v>
      </c>
      <c r="D111">
        <v>2.2551402165107599</v>
      </c>
      <c r="E111">
        <v>2.2107982268603901</v>
      </c>
      <c r="F111">
        <v>2.3003715736403798</v>
      </c>
    </row>
    <row r="112" spans="1:16" ht="15" customHeight="1" x14ac:dyDescent="0.25">
      <c r="A112" s="1">
        <v>42430</v>
      </c>
      <c r="B112" t="s">
        <v>8</v>
      </c>
      <c r="C112" t="s">
        <v>6</v>
      </c>
      <c r="D112">
        <v>2.1074582366614898</v>
      </c>
      <c r="E112">
        <v>2.0659708567666799</v>
      </c>
      <c r="F112">
        <v>2.1497787370647101</v>
      </c>
    </row>
    <row r="113" spans="1:6" ht="15" customHeight="1" x14ac:dyDescent="0.25">
      <c r="A113" s="1">
        <v>42461</v>
      </c>
      <c r="B113" t="s">
        <v>8</v>
      </c>
      <c r="C113" t="s">
        <v>6</v>
      </c>
      <c r="D113">
        <v>2.0158186229164499</v>
      </c>
      <c r="E113">
        <v>1.97611757220361</v>
      </c>
      <c r="F113">
        <v>2.05631728478859</v>
      </c>
    </row>
    <row r="114" spans="1:6" ht="15" customHeight="1" x14ac:dyDescent="0.25">
      <c r="A114" s="1">
        <v>42491</v>
      </c>
      <c r="B114" t="s">
        <v>8</v>
      </c>
      <c r="C114" t="s">
        <v>6</v>
      </c>
      <c r="D114">
        <v>1.9680222648585</v>
      </c>
      <c r="E114">
        <v>1.92932591197512</v>
      </c>
      <c r="F114">
        <v>2.0074947477452101</v>
      </c>
    </row>
    <row r="115" spans="1:6" ht="15" customHeight="1" x14ac:dyDescent="0.25">
      <c r="A115" s="1">
        <v>42522</v>
      </c>
      <c r="B115" t="s">
        <v>8</v>
      </c>
      <c r="C115" t="s">
        <v>6</v>
      </c>
      <c r="D115">
        <v>2.0052087353591799</v>
      </c>
      <c r="E115">
        <v>1.96587142123516</v>
      </c>
      <c r="F115">
        <v>2.0453331936808201</v>
      </c>
    </row>
    <row r="116" spans="1:6" ht="15" customHeight="1" x14ac:dyDescent="0.25">
      <c r="A116" s="1">
        <v>42552</v>
      </c>
      <c r="B116" t="s">
        <v>8</v>
      </c>
      <c r="C116" t="s">
        <v>6</v>
      </c>
      <c r="D116">
        <v>2.0449664803963099</v>
      </c>
      <c r="E116">
        <v>2.00474619770895</v>
      </c>
      <c r="F116">
        <v>2.0859936837508899</v>
      </c>
    </row>
    <row r="117" spans="1:6" ht="15" customHeight="1" x14ac:dyDescent="0.25">
      <c r="A117" s="1">
        <v>42583</v>
      </c>
      <c r="B117" t="s">
        <v>8</v>
      </c>
      <c r="C117" t="s">
        <v>6</v>
      </c>
      <c r="D117">
        <v>2.0861410544166499</v>
      </c>
      <c r="E117">
        <v>2.0444943679293002</v>
      </c>
      <c r="F117">
        <v>2.1286360907564501</v>
      </c>
    </row>
    <row r="118" spans="1:6" ht="15" customHeight="1" x14ac:dyDescent="0.25">
      <c r="A118" s="1">
        <v>42614</v>
      </c>
      <c r="B118" t="s">
        <v>8</v>
      </c>
      <c r="C118" t="s">
        <v>6</v>
      </c>
      <c r="D118">
        <v>2.1516914786871899</v>
      </c>
      <c r="E118">
        <v>2.1089741108508502</v>
      </c>
      <c r="F118">
        <v>2.1952740887782798</v>
      </c>
    </row>
    <row r="119" spans="1:6" ht="15" customHeight="1" x14ac:dyDescent="0.25">
      <c r="A119" s="1">
        <v>42644</v>
      </c>
      <c r="B119" t="s">
        <v>8</v>
      </c>
      <c r="C119" t="s">
        <v>6</v>
      </c>
      <c r="D119">
        <v>2.1469307424478399</v>
      </c>
      <c r="E119">
        <v>2.1042032976314302</v>
      </c>
      <c r="F119">
        <v>2.1905258004566699</v>
      </c>
    </row>
    <row r="120" spans="1:6" ht="15" customHeight="1" x14ac:dyDescent="0.25">
      <c r="A120" s="1">
        <v>42675</v>
      </c>
      <c r="B120" t="s">
        <v>8</v>
      </c>
      <c r="C120" t="s">
        <v>6</v>
      </c>
      <c r="D120">
        <v>2.1271419320748</v>
      </c>
      <c r="E120">
        <v>2.0854364678570598</v>
      </c>
      <c r="F120">
        <v>2.1696814402792199</v>
      </c>
    </row>
    <row r="121" spans="1:6" ht="15" customHeight="1" x14ac:dyDescent="0.25">
      <c r="A121" s="1">
        <v>42705</v>
      </c>
      <c r="B121" t="s">
        <v>8</v>
      </c>
      <c r="C121" t="s">
        <v>6</v>
      </c>
      <c r="D121">
        <v>2.0799050282409302</v>
      </c>
      <c r="E121">
        <v>2.0391285766718301</v>
      </c>
      <c r="F121">
        <v>2.1214968864605002</v>
      </c>
    </row>
    <row r="122" spans="1:6" ht="15" customHeight="1" x14ac:dyDescent="0.25">
      <c r="A122" s="1">
        <v>42736</v>
      </c>
      <c r="B122" t="s">
        <v>8</v>
      </c>
      <c r="C122" t="s">
        <v>6</v>
      </c>
      <c r="D122">
        <v>2.1319834005266198</v>
      </c>
      <c r="E122">
        <v>2.09028171069617</v>
      </c>
      <c r="F122">
        <v>2.1745170504349001</v>
      </c>
    </row>
    <row r="123" spans="1:6" ht="15" customHeight="1" x14ac:dyDescent="0.25">
      <c r="A123" s="1">
        <v>42767</v>
      </c>
      <c r="B123" t="s">
        <v>8</v>
      </c>
      <c r="C123" t="s">
        <v>6</v>
      </c>
      <c r="D123">
        <v>2.1159203727715701</v>
      </c>
      <c r="E123">
        <v>2.0748652283432998</v>
      </c>
      <c r="F123">
        <v>2.1577878711113199</v>
      </c>
    </row>
    <row r="124" spans="1:6" ht="15" customHeight="1" x14ac:dyDescent="0.25">
      <c r="A124" s="1">
        <v>42795</v>
      </c>
      <c r="B124" t="s">
        <v>8</v>
      </c>
      <c r="C124" t="s">
        <v>6</v>
      </c>
      <c r="D124">
        <v>2.0783219195154699</v>
      </c>
      <c r="E124">
        <v>2.0374700189330599</v>
      </c>
      <c r="F124">
        <v>2.1199929132701301</v>
      </c>
    </row>
    <row r="125" spans="1:6" ht="15" customHeight="1" x14ac:dyDescent="0.25">
      <c r="A125" s="1">
        <v>42826</v>
      </c>
      <c r="B125" t="s">
        <v>8</v>
      </c>
      <c r="C125" t="s">
        <v>6</v>
      </c>
      <c r="D125">
        <v>2.1114765768707899</v>
      </c>
      <c r="E125">
        <v>2.0699092818475</v>
      </c>
      <c r="F125">
        <v>2.1538786137983399</v>
      </c>
    </row>
    <row r="126" spans="1:6" ht="15" customHeight="1" x14ac:dyDescent="0.25">
      <c r="A126" s="1">
        <v>42856</v>
      </c>
      <c r="B126" t="s">
        <v>8</v>
      </c>
      <c r="C126" t="s">
        <v>6</v>
      </c>
      <c r="D126">
        <v>2.1474838129417999</v>
      </c>
      <c r="E126">
        <v>2.1051057758536702</v>
      </c>
      <c r="F126">
        <v>2.19071496536885</v>
      </c>
    </row>
    <row r="127" spans="1:6" ht="15" customHeight="1" x14ac:dyDescent="0.25">
      <c r="A127" s="1">
        <v>42887</v>
      </c>
      <c r="B127" t="s">
        <v>8</v>
      </c>
      <c r="C127" t="s">
        <v>6</v>
      </c>
      <c r="D127">
        <v>2.1185943334397002</v>
      </c>
      <c r="E127">
        <v>2.0768621482241301</v>
      </c>
      <c r="F127">
        <v>2.1611650795026298</v>
      </c>
    </row>
    <row r="128" spans="1:6" ht="15" customHeight="1" x14ac:dyDescent="0.25">
      <c r="A128" s="1">
        <v>42917</v>
      </c>
      <c r="B128" t="s">
        <v>8</v>
      </c>
      <c r="C128" t="s">
        <v>6</v>
      </c>
      <c r="D128">
        <v>2.1495733062997302</v>
      </c>
      <c r="E128">
        <v>2.1071985651415202</v>
      </c>
      <c r="F128">
        <v>2.1928001829509598</v>
      </c>
    </row>
    <row r="129" spans="1:6" ht="15" customHeight="1" x14ac:dyDescent="0.25">
      <c r="A129" s="1">
        <v>42948</v>
      </c>
      <c r="B129" t="s">
        <v>8</v>
      </c>
      <c r="C129" t="s">
        <v>6</v>
      </c>
      <c r="D129">
        <v>2.1494431299237098</v>
      </c>
      <c r="E129">
        <v>2.1065518156667999</v>
      </c>
      <c r="F129">
        <v>2.1932077504173901</v>
      </c>
    </row>
    <row r="130" spans="1:6" ht="15" customHeight="1" x14ac:dyDescent="0.25">
      <c r="A130" s="1">
        <v>42979</v>
      </c>
      <c r="B130" t="s">
        <v>8</v>
      </c>
      <c r="C130" t="s">
        <v>6</v>
      </c>
      <c r="D130">
        <v>2.1882957312904301</v>
      </c>
      <c r="E130">
        <v>2.1452237190544099</v>
      </c>
      <c r="F130">
        <v>2.2322325476126599</v>
      </c>
    </row>
    <row r="131" spans="1:6" ht="15" customHeight="1" x14ac:dyDescent="0.25">
      <c r="A131" s="1">
        <v>43009</v>
      </c>
      <c r="B131" t="s">
        <v>8</v>
      </c>
      <c r="C131" t="s">
        <v>6</v>
      </c>
      <c r="D131">
        <v>2.2174597706257</v>
      </c>
      <c r="E131">
        <v>2.1739576954525899</v>
      </c>
      <c r="F131">
        <v>2.2618323459692302</v>
      </c>
    </row>
    <row r="132" spans="1:6" ht="15" customHeight="1" x14ac:dyDescent="0.25">
      <c r="A132" s="1">
        <v>43040</v>
      </c>
      <c r="B132" t="s">
        <v>8</v>
      </c>
      <c r="C132" t="s">
        <v>6</v>
      </c>
      <c r="D132">
        <v>2.20566785383821</v>
      </c>
      <c r="E132">
        <v>2.16199098987091</v>
      </c>
      <c r="F132">
        <v>2.25022708431626</v>
      </c>
    </row>
    <row r="133" spans="1:6" ht="15" customHeight="1" x14ac:dyDescent="0.25">
      <c r="A133" s="1">
        <v>43070</v>
      </c>
      <c r="B133" t="s">
        <v>8</v>
      </c>
      <c r="C133" t="s">
        <v>6</v>
      </c>
      <c r="D133">
        <v>2.0664790334977199</v>
      </c>
      <c r="E133">
        <v>2.0258677822428699</v>
      </c>
      <c r="F133">
        <v>2.1079043920417799</v>
      </c>
    </row>
    <row r="134" spans="1:6" ht="15" customHeight="1" x14ac:dyDescent="0.25">
      <c r="A134" s="1">
        <v>43101</v>
      </c>
      <c r="B134" t="s">
        <v>8</v>
      </c>
      <c r="C134" t="s">
        <v>6</v>
      </c>
      <c r="D134">
        <v>2.0674411737941898</v>
      </c>
      <c r="E134">
        <v>2.0271107974678602</v>
      </c>
      <c r="F134">
        <v>2.1085739429925101</v>
      </c>
    </row>
    <row r="135" spans="1:6" ht="15" customHeight="1" x14ac:dyDescent="0.25">
      <c r="A135" s="1">
        <v>43132</v>
      </c>
      <c r="B135" t="s">
        <v>8</v>
      </c>
      <c r="C135" t="s">
        <v>6</v>
      </c>
      <c r="D135">
        <v>2.0833297796897101</v>
      </c>
      <c r="E135">
        <v>2.0423628029493499</v>
      </c>
      <c r="F135">
        <v>2.1251184973963801</v>
      </c>
    </row>
    <row r="136" spans="1:6" ht="15" customHeight="1" x14ac:dyDescent="0.25">
      <c r="A136" s="1">
        <v>43160</v>
      </c>
      <c r="B136" t="s">
        <v>8</v>
      </c>
      <c r="C136" t="s">
        <v>6</v>
      </c>
      <c r="D136">
        <v>2.0487216891958999</v>
      </c>
      <c r="E136">
        <v>2.0058692658023398</v>
      </c>
      <c r="F136">
        <v>2.0924895910914798</v>
      </c>
    </row>
    <row r="137" spans="1:6" ht="15" customHeight="1" x14ac:dyDescent="0.25">
      <c r="A137" s="1">
        <v>43191</v>
      </c>
      <c r="B137" t="s">
        <v>8</v>
      </c>
      <c r="C137" t="s">
        <v>6</v>
      </c>
      <c r="D137">
        <v>2.0359160416652</v>
      </c>
      <c r="E137">
        <v>1.9205496555108399</v>
      </c>
      <c r="F137">
        <v>2.1582124246650598</v>
      </c>
    </row>
    <row r="138" spans="1:6" ht="15" customHeight="1" x14ac:dyDescent="0.25">
      <c r="A138" s="1">
        <v>43221</v>
      </c>
      <c r="B138" t="s">
        <v>8</v>
      </c>
      <c r="C138" t="s">
        <v>6</v>
      </c>
      <c r="D138">
        <v>2.02521243061955</v>
      </c>
      <c r="E138">
        <v>1.87766416567971</v>
      </c>
      <c r="F138">
        <v>2.18435514939446</v>
      </c>
    </row>
    <row r="139" spans="1:6" ht="15" customHeight="1" x14ac:dyDescent="0.25">
      <c r="A139" s="1">
        <v>43252</v>
      </c>
      <c r="B139" t="s">
        <v>8</v>
      </c>
      <c r="C139" t="s">
        <v>6</v>
      </c>
      <c r="D139">
        <v>2.0242829902712098</v>
      </c>
      <c r="E139">
        <v>1.85046778840147</v>
      </c>
      <c r="F139">
        <v>2.21442472567501</v>
      </c>
    </row>
    <row r="140" spans="1:6" ht="15" customHeight="1" x14ac:dyDescent="0.25">
      <c r="A140" s="1">
        <v>43282</v>
      </c>
      <c r="B140" t="s">
        <v>8</v>
      </c>
      <c r="C140" t="s">
        <v>6</v>
      </c>
      <c r="D140">
        <v>2.0635603460012302</v>
      </c>
      <c r="E140">
        <v>1.86236148579491</v>
      </c>
      <c r="F140">
        <v>2.2864955778287901</v>
      </c>
    </row>
    <row r="141" spans="1:6" ht="15" customHeight="1" x14ac:dyDescent="0.25">
      <c r="A141" s="1">
        <v>43313</v>
      </c>
      <c r="B141" t="s">
        <v>8</v>
      </c>
      <c r="C141" t="s">
        <v>6</v>
      </c>
      <c r="D141">
        <v>2.0997184471596002</v>
      </c>
      <c r="E141">
        <v>1.87169227542668</v>
      </c>
      <c r="F141">
        <v>2.35552479177553</v>
      </c>
    </row>
    <row r="142" spans="1:6" ht="15" customHeight="1" x14ac:dyDescent="0.25">
      <c r="A142" s="1">
        <v>43344</v>
      </c>
      <c r="B142" t="s">
        <v>8</v>
      </c>
      <c r="C142" t="s">
        <v>6</v>
      </c>
      <c r="D142">
        <v>2.1376623289646899</v>
      </c>
      <c r="E142">
        <v>1.88550396766918</v>
      </c>
      <c r="F142">
        <v>2.42354315399484</v>
      </c>
    </row>
    <row r="143" spans="1:6" ht="15" customHeight="1" x14ac:dyDescent="0.25">
      <c r="A143" s="1">
        <v>43374</v>
      </c>
      <c r="B143" t="s">
        <v>8</v>
      </c>
      <c r="C143" t="s">
        <v>6</v>
      </c>
      <c r="D143">
        <v>2.13091466546304</v>
      </c>
      <c r="E143">
        <v>1.8560998944301601</v>
      </c>
      <c r="F143">
        <v>2.4464186033906898</v>
      </c>
    </row>
    <row r="144" spans="1:6" ht="15" customHeight="1" x14ac:dyDescent="0.25">
      <c r="A144" s="1">
        <v>43405</v>
      </c>
      <c r="B144" t="s">
        <v>8</v>
      </c>
      <c r="C144" t="s">
        <v>6</v>
      </c>
      <c r="D144">
        <v>2.1117145459381699</v>
      </c>
      <c r="E144">
        <v>1.811456142205</v>
      </c>
      <c r="F144">
        <v>2.4617423627484101</v>
      </c>
    </row>
    <row r="145" spans="1:6" ht="15" customHeight="1" x14ac:dyDescent="0.25">
      <c r="A145" s="1">
        <v>43435</v>
      </c>
      <c r="B145" t="s">
        <v>8</v>
      </c>
      <c r="C145" t="s">
        <v>6</v>
      </c>
      <c r="D145">
        <v>2.0267536776023198</v>
      </c>
      <c r="E145">
        <v>1.71303301831086</v>
      </c>
      <c r="F145">
        <v>2.3979283678518901</v>
      </c>
    </row>
    <row r="146" spans="1:6" ht="15" customHeight="1" x14ac:dyDescent="0.25">
      <c r="A146" s="1">
        <v>43466</v>
      </c>
      <c r="B146" t="s">
        <v>8</v>
      </c>
      <c r="C146" t="s">
        <v>6</v>
      </c>
      <c r="D146">
        <v>2.0555510816292299</v>
      </c>
      <c r="E146">
        <v>1.7239605391742201</v>
      </c>
      <c r="F146">
        <v>2.4509205130710301</v>
      </c>
    </row>
    <row r="147" spans="1:6" ht="15" customHeight="1" x14ac:dyDescent="0.25">
      <c r="A147" s="1">
        <v>43497</v>
      </c>
      <c r="B147" t="s">
        <v>8</v>
      </c>
      <c r="C147" t="s">
        <v>6</v>
      </c>
      <c r="D147">
        <v>2.0448734879749102</v>
      </c>
      <c r="E147">
        <v>1.6928239741106801</v>
      </c>
      <c r="F147">
        <v>2.4701372651692499</v>
      </c>
    </row>
    <row r="148" spans="1:6" ht="15" customHeight="1" x14ac:dyDescent="0.25">
      <c r="A148" s="1">
        <v>43525</v>
      </c>
      <c r="B148" t="s">
        <v>8</v>
      </c>
      <c r="C148" t="s">
        <v>6</v>
      </c>
      <c r="D148">
        <v>1.97711487178532</v>
      </c>
      <c r="E148">
        <v>1.61652010729551</v>
      </c>
      <c r="F148">
        <v>2.4181469804137099</v>
      </c>
    </row>
    <row r="149" spans="1:6" ht="15" customHeight="1" x14ac:dyDescent="0.25">
      <c r="A149" s="1">
        <v>43556</v>
      </c>
      <c r="B149" t="s">
        <v>8</v>
      </c>
      <c r="C149" t="s">
        <v>6</v>
      </c>
      <c r="D149">
        <v>1.96686005899507</v>
      </c>
      <c r="E149">
        <v>1.5899996386414501</v>
      </c>
      <c r="F149">
        <v>2.4330436294787399</v>
      </c>
    </row>
    <row r="150" spans="1:6" ht="15" customHeight="1" x14ac:dyDescent="0.25">
      <c r="A150" s="1">
        <v>43586</v>
      </c>
      <c r="B150" t="s">
        <v>8</v>
      </c>
      <c r="C150" t="s">
        <v>6</v>
      </c>
      <c r="D150">
        <v>1.9570301334337299</v>
      </c>
      <c r="E150">
        <v>1.5662574610625599</v>
      </c>
      <c r="F150">
        <v>2.4452984508494402</v>
      </c>
    </row>
    <row r="151" spans="1:6" ht="15" customHeight="1" x14ac:dyDescent="0.25">
      <c r="A151" s="1">
        <v>43617</v>
      </c>
      <c r="B151" t="s">
        <v>8</v>
      </c>
      <c r="C151" t="s">
        <v>6</v>
      </c>
      <c r="D151">
        <v>1.9566595342040201</v>
      </c>
      <c r="E151">
        <v>1.5449672666684999</v>
      </c>
      <c r="F151">
        <v>2.4780567299960699</v>
      </c>
    </row>
    <row r="152" spans="1:6" ht="15" customHeight="1" x14ac:dyDescent="0.25">
      <c r="A152" s="1">
        <v>43647</v>
      </c>
      <c r="B152" t="s">
        <v>8</v>
      </c>
      <c r="C152" t="s">
        <v>6</v>
      </c>
      <c r="D152">
        <v>1.9935840407363901</v>
      </c>
      <c r="E152">
        <v>1.5621951195027199</v>
      </c>
      <c r="F152">
        <v>2.5440979029200599</v>
      </c>
    </row>
    <row r="153" spans="1:6" ht="15" customHeight="1" x14ac:dyDescent="0.25">
      <c r="A153" s="1">
        <v>43678</v>
      </c>
      <c r="B153" t="s">
        <v>8</v>
      </c>
      <c r="C153" t="s">
        <v>6</v>
      </c>
      <c r="D153">
        <v>2.0274223037999102</v>
      </c>
      <c r="E153">
        <v>1.57199077259915</v>
      </c>
      <c r="F153">
        <v>2.61479982554164</v>
      </c>
    </row>
    <row r="154" spans="1:6" ht="15" customHeight="1" x14ac:dyDescent="0.25">
      <c r="A154" s="1">
        <v>43709</v>
      </c>
      <c r="B154" t="s">
        <v>8</v>
      </c>
      <c r="C154" t="s">
        <v>6</v>
      </c>
      <c r="D154">
        <v>2.0629468627874799</v>
      </c>
      <c r="E154">
        <v>1.58467430283235</v>
      </c>
      <c r="F154">
        <v>2.6855674702860002</v>
      </c>
    </row>
    <row r="155" spans="1:6" ht="15" customHeight="1" x14ac:dyDescent="0.25">
      <c r="A155" s="1">
        <v>43739</v>
      </c>
      <c r="B155" t="s">
        <v>8</v>
      </c>
      <c r="C155" t="s">
        <v>6</v>
      </c>
      <c r="D155">
        <v>2.05535025937073</v>
      </c>
      <c r="E155">
        <v>1.5561047576684801</v>
      </c>
      <c r="F155">
        <v>2.7147688276622501</v>
      </c>
    </row>
    <row r="156" spans="1:6" ht="15" customHeight="1" x14ac:dyDescent="0.25">
      <c r="A156" s="1">
        <v>43770</v>
      </c>
      <c r="B156" t="s">
        <v>8</v>
      </c>
      <c r="C156" t="s">
        <v>6</v>
      </c>
      <c r="D156">
        <v>2.0357207480288002</v>
      </c>
      <c r="E156">
        <v>1.51591112440397</v>
      </c>
      <c r="F156">
        <v>2.7337743600135802</v>
      </c>
    </row>
    <row r="157" spans="1:6" ht="15" customHeight="1" x14ac:dyDescent="0.25">
      <c r="A157" s="1">
        <v>43800</v>
      </c>
      <c r="B157" t="s">
        <v>8</v>
      </c>
      <c r="C157" t="s">
        <v>6</v>
      </c>
      <c r="D157">
        <v>1.9527866950572299</v>
      </c>
      <c r="E157">
        <v>1.43334926986849</v>
      </c>
      <c r="F157">
        <v>2.6604652170663199</v>
      </c>
    </row>
    <row r="158" spans="1:6" ht="15" customHeight="1" x14ac:dyDescent="0.25">
      <c r="A158" s="1">
        <v>43831</v>
      </c>
      <c r="B158" t="s">
        <v>8</v>
      </c>
      <c r="C158" t="s">
        <v>6</v>
      </c>
      <c r="D158">
        <v>1.97780537641702</v>
      </c>
      <c r="E158">
        <v>1.44626194524809</v>
      </c>
      <c r="F158">
        <v>2.7047065158815702</v>
      </c>
    </row>
    <row r="159" spans="1:6" ht="15" customHeight="1" x14ac:dyDescent="0.25">
      <c r="A159" s="1">
        <v>43862</v>
      </c>
      <c r="B159" t="s">
        <v>8</v>
      </c>
      <c r="C159" t="s">
        <v>6</v>
      </c>
      <c r="D159">
        <v>1.9648217880268599</v>
      </c>
      <c r="E159">
        <v>1.42289405584179</v>
      </c>
      <c r="F159">
        <v>2.7131497547940602</v>
      </c>
    </row>
    <row r="160" spans="1:6" ht="15" customHeight="1" x14ac:dyDescent="0.25">
      <c r="A160" s="1">
        <v>43891</v>
      </c>
      <c r="B160" t="s">
        <v>8</v>
      </c>
      <c r="C160" t="s">
        <v>6</v>
      </c>
      <c r="D160">
        <v>1.89735235504255</v>
      </c>
      <c r="E160">
        <v>1.36131296415133</v>
      </c>
      <c r="F160">
        <v>2.6444660808984501</v>
      </c>
    </row>
    <row r="161" spans="1:6" ht="15" customHeight="1" x14ac:dyDescent="0.25">
      <c r="A161" s="1">
        <v>43922</v>
      </c>
      <c r="B161" t="s">
        <v>8</v>
      </c>
      <c r="C161" t="s">
        <v>6</v>
      </c>
      <c r="D161">
        <v>1.8849680912822</v>
      </c>
      <c r="E161">
        <v>1.34193215511013</v>
      </c>
      <c r="F161">
        <v>2.6477528626329598</v>
      </c>
    </row>
    <row r="162" spans="1:6" ht="15" customHeight="1" x14ac:dyDescent="0.25">
      <c r="A162" s="1">
        <v>43952</v>
      </c>
      <c r="B162" t="s">
        <v>8</v>
      </c>
      <c r="C162" t="s">
        <v>6</v>
      </c>
      <c r="D162">
        <v>1.8731018675475299</v>
      </c>
      <c r="E162">
        <v>1.3237401658602601</v>
      </c>
      <c r="F162">
        <v>2.6504526316386099</v>
      </c>
    </row>
    <row r="163" spans="1:6" ht="15" customHeight="1" x14ac:dyDescent="0.25">
      <c r="A163" s="1">
        <v>43983</v>
      </c>
      <c r="B163" t="s">
        <v>8</v>
      </c>
      <c r="C163" t="s">
        <v>6</v>
      </c>
      <c r="D163">
        <v>1.8702238945266501</v>
      </c>
      <c r="E163">
        <v>1.30798185571869</v>
      </c>
      <c r="F163">
        <v>2.6741482692330898</v>
      </c>
    </row>
    <row r="164" spans="1:6" ht="15" customHeight="1" x14ac:dyDescent="0.25">
      <c r="A164" s="1">
        <v>44013</v>
      </c>
      <c r="B164" t="s">
        <v>8</v>
      </c>
      <c r="C164" t="s">
        <v>6</v>
      </c>
      <c r="D164">
        <v>1.90303260282109</v>
      </c>
      <c r="E164">
        <v>1.3226686679606099</v>
      </c>
      <c r="F164">
        <v>2.7380501066710501</v>
      </c>
    </row>
    <row r="165" spans="1:6" ht="15" customHeight="1" x14ac:dyDescent="0.25">
      <c r="A165" s="1">
        <v>44044</v>
      </c>
      <c r="B165" t="s">
        <v>8</v>
      </c>
      <c r="C165" t="s">
        <v>6</v>
      </c>
      <c r="D165">
        <v>1.9327262895244901</v>
      </c>
      <c r="E165">
        <v>1.3315773645018401</v>
      </c>
      <c r="F165">
        <v>2.8052676545884001</v>
      </c>
    </row>
    <row r="166" spans="1:6" ht="15" customHeight="1" x14ac:dyDescent="0.25">
      <c r="A166" s="1">
        <v>44075</v>
      </c>
      <c r="B166" t="s">
        <v>8</v>
      </c>
      <c r="C166" t="s">
        <v>6</v>
      </c>
      <c r="D166">
        <v>1.963941872418</v>
      </c>
      <c r="E166">
        <v>1.34202154831917</v>
      </c>
      <c r="F166">
        <v>2.87407283666015</v>
      </c>
    </row>
    <row r="167" spans="1:6" ht="15" customHeight="1" x14ac:dyDescent="0.25">
      <c r="A167" s="1">
        <v>44105</v>
      </c>
      <c r="B167" t="s">
        <v>8</v>
      </c>
      <c r="C167" t="s">
        <v>6</v>
      </c>
      <c r="D167">
        <v>1.95258439841945</v>
      </c>
      <c r="E167">
        <v>1.3205117917075599</v>
      </c>
      <c r="F167">
        <v>2.88720317144685</v>
      </c>
    </row>
    <row r="168" spans="1:6" ht="15" customHeight="1" x14ac:dyDescent="0.25">
      <c r="A168" s="1">
        <v>44136</v>
      </c>
      <c r="B168" t="s">
        <v>8</v>
      </c>
      <c r="C168" t="s">
        <v>6</v>
      </c>
      <c r="D168">
        <v>1.9297231484017701</v>
      </c>
      <c r="E168">
        <v>1.2906157664512601</v>
      </c>
      <c r="F168">
        <v>2.8853137597387799</v>
      </c>
    </row>
    <row r="169" spans="1:6" ht="15" customHeight="1" x14ac:dyDescent="0.25">
      <c r="A169" s="1">
        <v>44166</v>
      </c>
      <c r="B169" t="s">
        <v>8</v>
      </c>
      <c r="C169" t="s">
        <v>6</v>
      </c>
      <c r="D169">
        <v>1.8472045756092801</v>
      </c>
      <c r="E169">
        <v>1.2232355608026599</v>
      </c>
      <c r="F169">
        <v>2.7894584277069998</v>
      </c>
    </row>
    <row r="170" spans="1:6" x14ac:dyDescent="0.25">
      <c r="A170" s="1">
        <v>41640</v>
      </c>
      <c r="B170" t="s">
        <v>8</v>
      </c>
      <c r="C170" t="s">
        <v>51</v>
      </c>
      <c r="D170">
        <v>2.7902820245470599</v>
      </c>
      <c r="E170">
        <v>2.7428597673146999</v>
      </c>
      <c r="F170">
        <v>2.8385241816911102</v>
      </c>
    </row>
    <row r="171" spans="1:6" x14ac:dyDescent="0.25">
      <c r="A171" s="1">
        <v>41671</v>
      </c>
      <c r="B171" t="s">
        <v>8</v>
      </c>
      <c r="C171" t="s">
        <v>51</v>
      </c>
      <c r="D171">
        <v>2.6805040854664002</v>
      </c>
      <c r="E171">
        <v>2.6363568976918099</v>
      </c>
      <c r="F171">
        <v>2.7253905412020698</v>
      </c>
    </row>
    <row r="172" spans="1:6" x14ac:dyDescent="0.25">
      <c r="A172" s="1">
        <v>41699</v>
      </c>
      <c r="B172" t="s">
        <v>8</v>
      </c>
      <c r="C172" t="s">
        <v>51</v>
      </c>
      <c r="D172">
        <v>2.6110197926080101</v>
      </c>
      <c r="E172">
        <v>2.5677340958164101</v>
      </c>
      <c r="F172">
        <v>2.6550351800439</v>
      </c>
    </row>
    <row r="173" spans="1:6" x14ac:dyDescent="0.25">
      <c r="A173" s="1">
        <v>41730</v>
      </c>
      <c r="B173" t="s">
        <v>8</v>
      </c>
      <c r="C173" t="s">
        <v>51</v>
      </c>
      <c r="D173">
        <v>2.5894546408832801</v>
      </c>
      <c r="E173">
        <v>2.5464924564576399</v>
      </c>
      <c r="F173">
        <v>2.6331416455556602</v>
      </c>
    </row>
    <row r="174" spans="1:6" x14ac:dyDescent="0.25">
      <c r="A174" s="1">
        <v>41760</v>
      </c>
      <c r="B174" t="s">
        <v>8</v>
      </c>
      <c r="C174" t="s">
        <v>51</v>
      </c>
      <c r="D174">
        <v>2.5621361948411301</v>
      </c>
      <c r="E174">
        <v>2.5196198522658899</v>
      </c>
      <c r="F174">
        <v>2.6053699628582798</v>
      </c>
    </row>
    <row r="175" spans="1:6" x14ac:dyDescent="0.25">
      <c r="A175" s="1">
        <v>41791</v>
      </c>
      <c r="B175" t="s">
        <v>8</v>
      </c>
      <c r="C175" t="s">
        <v>51</v>
      </c>
      <c r="D175">
        <v>2.49330476469276</v>
      </c>
      <c r="E175">
        <v>2.4519430401398901</v>
      </c>
      <c r="F175">
        <v>2.5353642184464902</v>
      </c>
    </row>
    <row r="176" spans="1:6" x14ac:dyDescent="0.25">
      <c r="A176" s="1">
        <v>41821</v>
      </c>
      <c r="B176" t="s">
        <v>8</v>
      </c>
      <c r="C176" t="s">
        <v>51</v>
      </c>
      <c r="D176">
        <v>2.5512055592851701</v>
      </c>
      <c r="E176">
        <v>2.50866825464677</v>
      </c>
      <c r="F176">
        <v>2.59446413198383</v>
      </c>
    </row>
    <row r="177" spans="1:6" x14ac:dyDescent="0.25">
      <c r="A177" s="1">
        <v>41852</v>
      </c>
      <c r="B177" t="s">
        <v>8</v>
      </c>
      <c r="C177" t="s">
        <v>51</v>
      </c>
      <c r="D177">
        <v>2.6174552237722102</v>
      </c>
      <c r="E177">
        <v>2.5733888751088201</v>
      </c>
      <c r="F177">
        <v>2.6622761583838499</v>
      </c>
    </row>
    <row r="178" spans="1:6" x14ac:dyDescent="0.25">
      <c r="A178" s="1">
        <v>41883</v>
      </c>
      <c r="B178" t="s">
        <v>8</v>
      </c>
      <c r="C178" t="s">
        <v>51</v>
      </c>
      <c r="D178">
        <v>2.58205359921635</v>
      </c>
      <c r="E178">
        <v>2.5390557773587301</v>
      </c>
      <c r="F178">
        <v>2.6257795707668499</v>
      </c>
    </row>
    <row r="179" spans="1:6" x14ac:dyDescent="0.25">
      <c r="A179" s="1">
        <v>41913</v>
      </c>
      <c r="B179" t="s">
        <v>8</v>
      </c>
      <c r="C179" t="s">
        <v>51</v>
      </c>
      <c r="D179">
        <v>2.6009601054845199</v>
      </c>
      <c r="E179">
        <v>2.5578009950684302</v>
      </c>
      <c r="F179">
        <v>2.6448474620837699</v>
      </c>
    </row>
    <row r="180" spans="1:6" x14ac:dyDescent="0.25">
      <c r="A180" s="1">
        <v>41944</v>
      </c>
      <c r="B180" t="s">
        <v>8</v>
      </c>
      <c r="C180" t="s">
        <v>51</v>
      </c>
      <c r="D180">
        <v>2.5547241893488</v>
      </c>
      <c r="E180">
        <v>2.5122303170210998</v>
      </c>
      <c r="F180">
        <v>2.59793683701057</v>
      </c>
    </row>
    <row r="181" spans="1:6" x14ac:dyDescent="0.25">
      <c r="A181" s="1">
        <v>41974</v>
      </c>
      <c r="B181" t="s">
        <v>8</v>
      </c>
      <c r="C181" t="s">
        <v>51</v>
      </c>
      <c r="D181">
        <v>2.4566543154575702</v>
      </c>
      <c r="E181">
        <v>2.41590229437181</v>
      </c>
      <c r="F181">
        <v>2.4980937514385602</v>
      </c>
    </row>
    <row r="182" spans="1:6" x14ac:dyDescent="0.25">
      <c r="A182" s="1">
        <v>42005</v>
      </c>
      <c r="B182" t="s">
        <v>8</v>
      </c>
      <c r="C182" t="s">
        <v>51</v>
      </c>
      <c r="D182">
        <v>2.4986595989612601</v>
      </c>
      <c r="E182">
        <v>2.4572300322660601</v>
      </c>
      <c r="F182">
        <v>2.5407876794195201</v>
      </c>
    </row>
    <row r="183" spans="1:6" x14ac:dyDescent="0.25">
      <c r="A183" s="1">
        <v>42036</v>
      </c>
      <c r="B183" t="s">
        <v>8</v>
      </c>
      <c r="C183" t="s">
        <v>51</v>
      </c>
      <c r="D183">
        <v>2.4698404768894102</v>
      </c>
      <c r="E183">
        <v>2.42915971021616</v>
      </c>
      <c r="F183">
        <v>2.51120251814916</v>
      </c>
    </row>
    <row r="184" spans="1:6" x14ac:dyDescent="0.25">
      <c r="A184" s="1">
        <v>42064</v>
      </c>
      <c r="B184" t="s">
        <v>8</v>
      </c>
      <c r="C184" t="s">
        <v>51</v>
      </c>
      <c r="D184">
        <v>2.3278439561933002</v>
      </c>
      <c r="E184">
        <v>2.2893628198713301</v>
      </c>
      <c r="F184">
        <v>2.3669719091053598</v>
      </c>
    </row>
    <row r="185" spans="1:6" x14ac:dyDescent="0.25">
      <c r="A185" s="1">
        <v>42095</v>
      </c>
      <c r="B185" t="s">
        <v>8</v>
      </c>
      <c r="C185" t="s">
        <v>51</v>
      </c>
      <c r="D185">
        <v>2.3728873547094298</v>
      </c>
      <c r="E185">
        <v>2.3335243462183501</v>
      </c>
      <c r="F185">
        <v>2.4129143573173799</v>
      </c>
    </row>
    <row r="186" spans="1:6" x14ac:dyDescent="0.25">
      <c r="A186" s="1">
        <v>42125</v>
      </c>
      <c r="B186" t="s">
        <v>8</v>
      </c>
      <c r="C186" t="s">
        <v>51</v>
      </c>
      <c r="D186">
        <v>2.3453264846215398</v>
      </c>
      <c r="E186">
        <v>2.3063598493614799</v>
      </c>
      <c r="F186">
        <v>2.3849514727678098</v>
      </c>
    </row>
    <row r="187" spans="1:6" x14ac:dyDescent="0.25">
      <c r="A187" s="1">
        <v>42156</v>
      </c>
      <c r="B187" t="s">
        <v>8</v>
      </c>
      <c r="C187" t="s">
        <v>51</v>
      </c>
      <c r="D187">
        <v>2.36006413100931</v>
      </c>
      <c r="E187">
        <v>2.3209124812323298</v>
      </c>
      <c r="F187">
        <v>2.3998762329544201</v>
      </c>
    </row>
    <row r="188" spans="1:6" x14ac:dyDescent="0.25">
      <c r="A188" s="1">
        <v>42186</v>
      </c>
      <c r="B188" t="s">
        <v>8</v>
      </c>
      <c r="C188" t="s">
        <v>51</v>
      </c>
      <c r="D188">
        <v>2.4042503463961298</v>
      </c>
      <c r="E188">
        <v>2.36366040269291</v>
      </c>
      <c r="F188">
        <v>2.4455373206575199</v>
      </c>
    </row>
    <row r="189" spans="1:6" x14ac:dyDescent="0.25">
      <c r="A189" s="1">
        <v>42217</v>
      </c>
      <c r="B189" t="s">
        <v>8</v>
      </c>
      <c r="C189" t="s">
        <v>51</v>
      </c>
      <c r="D189">
        <v>2.8341887760000199</v>
      </c>
      <c r="E189">
        <v>2.78445498558838</v>
      </c>
      <c r="F189">
        <v>2.88481087307184</v>
      </c>
    </row>
    <row r="190" spans="1:6" x14ac:dyDescent="0.25">
      <c r="A190" s="1">
        <v>42248</v>
      </c>
      <c r="B190" t="s">
        <v>8</v>
      </c>
      <c r="C190" t="s">
        <v>51</v>
      </c>
      <c r="D190">
        <v>2.78733510664734</v>
      </c>
      <c r="E190">
        <v>2.7400125315535901</v>
      </c>
      <c r="F190">
        <v>2.8354749868036402</v>
      </c>
    </row>
    <row r="191" spans="1:6" x14ac:dyDescent="0.25">
      <c r="A191" s="1">
        <v>42278</v>
      </c>
      <c r="B191" t="s">
        <v>8</v>
      </c>
      <c r="C191" t="s">
        <v>51</v>
      </c>
      <c r="D191">
        <v>2.68467507692848</v>
      </c>
      <c r="E191">
        <v>2.6393972319979602</v>
      </c>
      <c r="F191">
        <v>2.7307296458839798</v>
      </c>
    </row>
    <row r="192" spans="1:6" x14ac:dyDescent="0.25">
      <c r="A192" s="1">
        <v>42309</v>
      </c>
      <c r="B192" t="s">
        <v>8</v>
      </c>
      <c r="C192" t="s">
        <v>51</v>
      </c>
      <c r="D192">
        <v>2.6273306135430801</v>
      </c>
      <c r="E192">
        <v>2.5833458061272201</v>
      </c>
      <c r="F192">
        <v>2.6720643192592899</v>
      </c>
    </row>
    <row r="193" spans="1:6" x14ac:dyDescent="0.25">
      <c r="A193" s="1">
        <v>42339</v>
      </c>
      <c r="B193" t="s">
        <v>8</v>
      </c>
      <c r="C193" t="s">
        <v>51</v>
      </c>
      <c r="D193">
        <v>2.53155237803053</v>
      </c>
      <c r="E193">
        <v>2.4895663531372101</v>
      </c>
      <c r="F193">
        <v>2.57424648860477</v>
      </c>
    </row>
    <row r="194" spans="1:6" x14ac:dyDescent="0.25">
      <c r="A194" s="1">
        <v>42370</v>
      </c>
      <c r="B194" t="s">
        <v>8</v>
      </c>
      <c r="C194" t="s">
        <v>51</v>
      </c>
      <c r="D194">
        <v>2.58912505962082</v>
      </c>
      <c r="E194">
        <v>2.5462658386398598</v>
      </c>
      <c r="F194">
        <v>2.63270569499426</v>
      </c>
    </row>
    <row r="195" spans="1:6" x14ac:dyDescent="0.25">
      <c r="A195" s="1">
        <v>42401</v>
      </c>
      <c r="B195" t="s">
        <v>8</v>
      </c>
      <c r="C195" t="s">
        <v>51</v>
      </c>
      <c r="D195">
        <v>2.6129066209454401</v>
      </c>
      <c r="E195">
        <v>2.5697003526810001</v>
      </c>
      <c r="F195">
        <v>2.65683934808101</v>
      </c>
    </row>
    <row r="196" spans="1:6" x14ac:dyDescent="0.25">
      <c r="A196" s="1">
        <v>42430</v>
      </c>
      <c r="B196" t="s">
        <v>8</v>
      </c>
      <c r="C196" t="s">
        <v>51</v>
      </c>
      <c r="D196">
        <v>2.4162969657529998</v>
      </c>
      <c r="E196">
        <v>2.37615816717727</v>
      </c>
      <c r="F196">
        <v>2.4571138013270102</v>
      </c>
    </row>
    <row r="197" spans="1:6" x14ac:dyDescent="0.25">
      <c r="A197" s="1">
        <v>42461</v>
      </c>
      <c r="B197" t="s">
        <v>8</v>
      </c>
      <c r="C197" t="s">
        <v>51</v>
      </c>
      <c r="D197">
        <v>2.3078225433834301</v>
      </c>
      <c r="E197">
        <v>2.2695033548361101</v>
      </c>
      <c r="F197">
        <v>2.3467887282032098</v>
      </c>
    </row>
    <row r="198" spans="1:6" x14ac:dyDescent="0.25">
      <c r="A198" s="1">
        <v>42491</v>
      </c>
      <c r="B198" t="s">
        <v>8</v>
      </c>
      <c r="C198" t="s">
        <v>51</v>
      </c>
      <c r="D198">
        <v>2.23848385215038</v>
      </c>
      <c r="E198">
        <v>2.2011999090204699</v>
      </c>
      <c r="F198">
        <v>2.2763993110320402</v>
      </c>
    </row>
    <row r="199" spans="1:6" x14ac:dyDescent="0.25">
      <c r="A199" s="1">
        <v>42522</v>
      </c>
      <c r="B199" t="s">
        <v>8</v>
      </c>
      <c r="C199" t="s">
        <v>51</v>
      </c>
      <c r="D199">
        <v>2.2538081714853702</v>
      </c>
      <c r="E199">
        <v>2.2164272486105898</v>
      </c>
      <c r="F199">
        <v>2.2918195384209099</v>
      </c>
    </row>
    <row r="200" spans="1:6" x14ac:dyDescent="0.25">
      <c r="A200" s="1">
        <v>42552</v>
      </c>
      <c r="B200" t="s">
        <v>8</v>
      </c>
      <c r="C200" t="s">
        <v>51</v>
      </c>
      <c r="D200">
        <v>2.2908929256641599</v>
      </c>
      <c r="E200">
        <v>2.2527501589847101</v>
      </c>
      <c r="F200">
        <v>2.3296815121404202</v>
      </c>
    </row>
    <row r="201" spans="1:6" x14ac:dyDescent="0.25">
      <c r="A201" s="1">
        <v>42583</v>
      </c>
      <c r="B201" t="s">
        <v>8</v>
      </c>
      <c r="C201" t="s">
        <v>51</v>
      </c>
      <c r="D201">
        <v>2.2626333970458501</v>
      </c>
      <c r="E201">
        <v>2.2245406758167499</v>
      </c>
      <c r="F201">
        <v>2.3013784126683099</v>
      </c>
    </row>
    <row r="202" spans="1:6" x14ac:dyDescent="0.25">
      <c r="A202" s="1">
        <v>42614</v>
      </c>
      <c r="B202" t="s">
        <v>8</v>
      </c>
      <c r="C202" t="s">
        <v>51</v>
      </c>
      <c r="D202">
        <v>2.3177818004335098</v>
      </c>
      <c r="E202">
        <v>2.2789989282486598</v>
      </c>
      <c r="F202">
        <v>2.3572246602806</v>
      </c>
    </row>
    <row r="203" spans="1:6" x14ac:dyDescent="0.25">
      <c r="A203" s="1">
        <v>42644</v>
      </c>
      <c r="B203" t="s">
        <v>8</v>
      </c>
      <c r="C203" t="s">
        <v>51</v>
      </c>
      <c r="D203">
        <v>2.31421166512134</v>
      </c>
      <c r="E203">
        <v>2.2753815957938599</v>
      </c>
      <c r="F203">
        <v>2.3537043812271699</v>
      </c>
    </row>
    <row r="204" spans="1:6" x14ac:dyDescent="0.25">
      <c r="A204" s="1">
        <v>42675</v>
      </c>
      <c r="B204" t="s">
        <v>8</v>
      </c>
      <c r="C204" t="s">
        <v>51</v>
      </c>
      <c r="D204">
        <v>2.3142445952194</v>
      </c>
      <c r="E204">
        <v>2.27579051797973</v>
      </c>
      <c r="F204">
        <v>2.3533484317601499</v>
      </c>
    </row>
    <row r="205" spans="1:6" x14ac:dyDescent="0.25">
      <c r="A205" s="1">
        <v>42705</v>
      </c>
      <c r="B205" t="s">
        <v>8</v>
      </c>
      <c r="C205" t="s">
        <v>51</v>
      </c>
      <c r="D205">
        <v>2.3114944015080301</v>
      </c>
      <c r="E205">
        <v>2.2731511360467498</v>
      </c>
      <c r="F205">
        <v>2.3504844369895399</v>
      </c>
    </row>
    <row r="206" spans="1:6" x14ac:dyDescent="0.25">
      <c r="A206" s="1">
        <v>42736</v>
      </c>
      <c r="B206" t="s">
        <v>8</v>
      </c>
      <c r="C206" t="s">
        <v>51</v>
      </c>
      <c r="D206">
        <v>2.36646858743419</v>
      </c>
      <c r="E206">
        <v>2.3272468502343799</v>
      </c>
      <c r="F206">
        <v>2.4063513394587899</v>
      </c>
    </row>
    <row r="207" spans="1:6" x14ac:dyDescent="0.25">
      <c r="A207" s="1">
        <v>42767</v>
      </c>
      <c r="B207" t="s">
        <v>8</v>
      </c>
      <c r="C207" t="s">
        <v>51</v>
      </c>
      <c r="D207">
        <v>2.3345448125586499</v>
      </c>
      <c r="E207">
        <v>2.2960781355591098</v>
      </c>
      <c r="F207">
        <v>2.3736559298394</v>
      </c>
    </row>
    <row r="208" spans="1:6" x14ac:dyDescent="0.25">
      <c r="A208" s="1">
        <v>42795</v>
      </c>
      <c r="B208" t="s">
        <v>8</v>
      </c>
      <c r="C208" t="s">
        <v>51</v>
      </c>
      <c r="D208">
        <v>2.26529453717834</v>
      </c>
      <c r="E208">
        <v>2.2268562871707198</v>
      </c>
      <c r="F208">
        <v>2.3043962781674701</v>
      </c>
    </row>
    <row r="209" spans="1:6" x14ac:dyDescent="0.25">
      <c r="A209" s="1">
        <v>42826</v>
      </c>
      <c r="B209" t="s">
        <v>8</v>
      </c>
      <c r="C209" t="s">
        <v>51</v>
      </c>
      <c r="D209">
        <v>2.2245103712267098</v>
      </c>
      <c r="E209">
        <v>2.17078814422266</v>
      </c>
      <c r="F209">
        <v>2.2795621050653998</v>
      </c>
    </row>
    <row r="210" spans="1:6" x14ac:dyDescent="0.25">
      <c r="A210" s="1">
        <v>42856</v>
      </c>
      <c r="B210" t="s">
        <v>8</v>
      </c>
      <c r="C210" t="s">
        <v>51</v>
      </c>
      <c r="D210">
        <v>2.1856972652500901</v>
      </c>
      <c r="E210">
        <v>2.1154566715728</v>
      </c>
      <c r="F210">
        <v>2.2582700934119901</v>
      </c>
    </row>
    <row r="211" spans="1:6" x14ac:dyDescent="0.25">
      <c r="A211" s="1">
        <v>42887</v>
      </c>
      <c r="B211" t="s">
        <v>8</v>
      </c>
      <c r="C211" t="s">
        <v>51</v>
      </c>
      <c r="D211">
        <v>2.1939301537956002</v>
      </c>
      <c r="E211">
        <v>2.11040937146785</v>
      </c>
      <c r="F211">
        <v>2.2807563237770099</v>
      </c>
    </row>
    <row r="212" spans="1:6" x14ac:dyDescent="0.25">
      <c r="A212" s="1">
        <v>42917</v>
      </c>
      <c r="B212" t="s">
        <v>8</v>
      </c>
      <c r="C212" t="s">
        <v>51</v>
      </c>
      <c r="D212">
        <v>2.2384206753617701</v>
      </c>
      <c r="E212">
        <v>2.1410182604863599</v>
      </c>
      <c r="F212">
        <v>2.3402542670275199</v>
      </c>
    </row>
    <row r="213" spans="1:6" x14ac:dyDescent="0.25">
      <c r="A213" s="1">
        <v>42948</v>
      </c>
      <c r="B213" t="s">
        <v>8</v>
      </c>
      <c r="C213" t="s">
        <v>51</v>
      </c>
      <c r="D213">
        <v>2.29642027385152</v>
      </c>
      <c r="E213">
        <v>2.1848543988985498</v>
      </c>
      <c r="F213">
        <v>2.4136830705125298</v>
      </c>
    </row>
    <row r="214" spans="1:6" x14ac:dyDescent="0.25">
      <c r="A214" s="1">
        <v>42979</v>
      </c>
      <c r="B214" t="s">
        <v>8</v>
      </c>
      <c r="C214" t="s">
        <v>51</v>
      </c>
      <c r="D214">
        <v>2.3606939103075</v>
      </c>
      <c r="E214">
        <v>2.2366780973442202</v>
      </c>
      <c r="F214">
        <v>2.49158595721934</v>
      </c>
    </row>
    <row r="215" spans="1:6" x14ac:dyDescent="0.25">
      <c r="A215" s="1">
        <v>43009</v>
      </c>
      <c r="B215" t="s">
        <v>8</v>
      </c>
      <c r="C215" t="s">
        <v>51</v>
      </c>
      <c r="D215">
        <v>2.3270195989992302</v>
      </c>
      <c r="E215">
        <v>2.19520239808858</v>
      </c>
      <c r="F215">
        <v>2.4667521404138202</v>
      </c>
    </row>
    <row r="216" spans="1:6" x14ac:dyDescent="0.25">
      <c r="A216" s="1">
        <v>43040</v>
      </c>
      <c r="B216" t="s">
        <v>8</v>
      </c>
      <c r="C216" t="s">
        <v>51</v>
      </c>
      <c r="D216">
        <v>2.2791740796074502</v>
      </c>
      <c r="E216">
        <v>2.1398123340117001</v>
      </c>
      <c r="F216">
        <v>2.42761218009041</v>
      </c>
    </row>
    <row r="217" spans="1:6" x14ac:dyDescent="0.25">
      <c r="A217" s="1">
        <v>43070</v>
      </c>
      <c r="B217" t="s">
        <v>8</v>
      </c>
      <c r="C217" t="s">
        <v>51</v>
      </c>
      <c r="D217">
        <v>2.2305139284076798</v>
      </c>
      <c r="E217">
        <v>2.0877199723378501</v>
      </c>
      <c r="F217">
        <v>2.38307457453186</v>
      </c>
    </row>
    <row r="218" spans="1:6" x14ac:dyDescent="0.25">
      <c r="A218" s="1">
        <v>43101</v>
      </c>
      <c r="B218" t="s">
        <v>8</v>
      </c>
      <c r="C218" t="s">
        <v>51</v>
      </c>
      <c r="D218">
        <v>2.2704762917324102</v>
      </c>
      <c r="E218">
        <v>2.1169401188739201</v>
      </c>
      <c r="F218">
        <v>2.4351480447454099</v>
      </c>
    </row>
    <row r="219" spans="1:6" x14ac:dyDescent="0.25">
      <c r="A219" s="1">
        <v>43132</v>
      </c>
      <c r="B219" t="s">
        <v>8</v>
      </c>
      <c r="C219" t="s">
        <v>51</v>
      </c>
      <c r="D219">
        <v>2.24550026593815</v>
      </c>
      <c r="E219">
        <v>2.0879382000494302</v>
      </c>
      <c r="F219">
        <v>2.4149524369107098</v>
      </c>
    </row>
    <row r="220" spans="1:6" x14ac:dyDescent="0.25">
      <c r="A220" s="1">
        <v>43160</v>
      </c>
      <c r="B220" t="s">
        <v>8</v>
      </c>
      <c r="C220" t="s">
        <v>51</v>
      </c>
      <c r="D220">
        <v>2.1189527872362302</v>
      </c>
      <c r="E220">
        <v>1.9616690271575401</v>
      </c>
      <c r="F220">
        <v>2.2888473296854501</v>
      </c>
    </row>
    <row r="221" spans="1:6" x14ac:dyDescent="0.25">
      <c r="A221" s="1">
        <v>43191</v>
      </c>
      <c r="B221" t="s">
        <v>8</v>
      </c>
      <c r="C221" t="s">
        <v>51</v>
      </c>
      <c r="D221">
        <v>2.0938625616169202</v>
      </c>
      <c r="E221">
        <v>1.9294427561672101</v>
      </c>
      <c r="F221">
        <v>2.2722936002777199</v>
      </c>
    </row>
    <row r="222" spans="1:6" x14ac:dyDescent="0.25">
      <c r="A222" s="1">
        <v>43221</v>
      </c>
      <c r="B222" t="s">
        <v>8</v>
      </c>
      <c r="C222" t="s">
        <v>51</v>
      </c>
      <c r="D222">
        <v>2.06032751959772</v>
      </c>
      <c r="E222">
        <v>1.8910518477270299</v>
      </c>
      <c r="F222">
        <v>2.2447557390422399</v>
      </c>
    </row>
    <row r="223" spans="1:6" x14ac:dyDescent="0.25">
      <c r="A223" s="1">
        <v>43252</v>
      </c>
      <c r="B223" t="s">
        <v>8</v>
      </c>
      <c r="C223" t="s">
        <v>51</v>
      </c>
      <c r="D223">
        <v>2.0481073494642699</v>
      </c>
      <c r="E223">
        <v>1.87191555491988</v>
      </c>
      <c r="F223">
        <v>2.2408829842268601</v>
      </c>
    </row>
    <row r="224" spans="1:6" x14ac:dyDescent="0.25">
      <c r="A224" s="1">
        <v>43282</v>
      </c>
      <c r="B224" t="s">
        <v>8</v>
      </c>
      <c r="C224" t="s">
        <v>51</v>
      </c>
      <c r="D224">
        <v>2.09546368992839</v>
      </c>
      <c r="E224">
        <v>1.90886405167357</v>
      </c>
      <c r="F224">
        <v>2.3003042421793198</v>
      </c>
    </row>
    <row r="225" spans="1:6" x14ac:dyDescent="0.25">
      <c r="A225" s="1">
        <v>43313</v>
      </c>
      <c r="B225" t="s">
        <v>8</v>
      </c>
      <c r="C225" t="s">
        <v>51</v>
      </c>
      <c r="D225">
        <v>2.15443401345635</v>
      </c>
      <c r="E225">
        <v>1.9545581467089499</v>
      </c>
      <c r="F225">
        <v>2.37474946762421</v>
      </c>
    </row>
    <row r="226" spans="1:6" x14ac:dyDescent="0.25">
      <c r="A226" s="1">
        <v>43344</v>
      </c>
      <c r="B226" t="s">
        <v>8</v>
      </c>
      <c r="C226" t="s">
        <v>51</v>
      </c>
      <c r="D226">
        <v>2.2163882433636499</v>
      </c>
      <c r="E226">
        <v>2.0041015953955199</v>
      </c>
      <c r="F226">
        <v>2.4511615861226299</v>
      </c>
    </row>
    <row r="227" spans="1:6" x14ac:dyDescent="0.25">
      <c r="A227" s="1">
        <v>43374</v>
      </c>
      <c r="B227" t="s">
        <v>8</v>
      </c>
      <c r="C227" t="s">
        <v>51</v>
      </c>
      <c r="D227">
        <v>2.1740528765475502</v>
      </c>
      <c r="E227">
        <v>1.9563306081223499</v>
      </c>
      <c r="F227">
        <v>2.41600570496675</v>
      </c>
    </row>
    <row r="228" spans="1:6" x14ac:dyDescent="0.25">
      <c r="A228" s="1">
        <v>43405</v>
      </c>
      <c r="B228" t="s">
        <v>8</v>
      </c>
      <c r="C228" t="s">
        <v>51</v>
      </c>
      <c r="D228">
        <v>2.1199672582445799</v>
      </c>
      <c r="E228">
        <v>1.89610131507631</v>
      </c>
      <c r="F228">
        <v>2.3702642576608102</v>
      </c>
    </row>
    <row r="229" spans="1:6" x14ac:dyDescent="0.25">
      <c r="A229" s="1">
        <v>43435</v>
      </c>
      <c r="B229" t="s">
        <v>8</v>
      </c>
      <c r="C229" t="s">
        <v>51</v>
      </c>
      <c r="D229">
        <v>2.0533740632278801</v>
      </c>
      <c r="E229">
        <v>1.82762133937588</v>
      </c>
      <c r="F229">
        <v>2.3070123732396501</v>
      </c>
    </row>
    <row r="230" spans="1:6" x14ac:dyDescent="0.25">
      <c r="A230" s="1">
        <v>43466</v>
      </c>
      <c r="B230" t="s">
        <v>8</v>
      </c>
      <c r="C230" t="s">
        <v>51</v>
      </c>
      <c r="D230">
        <v>2.1042662543194499</v>
      </c>
      <c r="E230">
        <v>1.8690975063806099</v>
      </c>
      <c r="F230">
        <v>2.3690237956831002</v>
      </c>
    </row>
    <row r="231" spans="1:6" x14ac:dyDescent="0.25">
      <c r="A231" s="1">
        <v>43497</v>
      </c>
      <c r="B231" t="s">
        <v>8</v>
      </c>
      <c r="C231" t="s">
        <v>51</v>
      </c>
      <c r="D231">
        <v>2.0690438276652001</v>
      </c>
      <c r="E231">
        <v>1.8316141213380499</v>
      </c>
      <c r="F231">
        <v>2.33725123153785</v>
      </c>
    </row>
    <row r="232" spans="1:6" x14ac:dyDescent="0.25">
      <c r="A232" s="1">
        <v>43525</v>
      </c>
      <c r="B232" t="s">
        <v>8</v>
      </c>
      <c r="C232" t="s">
        <v>51</v>
      </c>
      <c r="D232">
        <v>1.96182675031497</v>
      </c>
      <c r="E232">
        <v>1.7298904490998099</v>
      </c>
      <c r="F232">
        <v>2.2248600772691698</v>
      </c>
    </row>
    <row r="233" spans="1:6" x14ac:dyDescent="0.25">
      <c r="A233" s="1">
        <v>43556</v>
      </c>
      <c r="B233" t="s">
        <v>8</v>
      </c>
      <c r="C233" t="s">
        <v>51</v>
      </c>
      <c r="D233">
        <v>1.94046018444505</v>
      </c>
      <c r="E233">
        <v>1.7049233179782399</v>
      </c>
      <c r="F233">
        <v>2.2085367052646498</v>
      </c>
    </row>
    <row r="234" spans="1:6" x14ac:dyDescent="0.25">
      <c r="A234" s="1">
        <v>43586</v>
      </c>
      <c r="B234" t="s">
        <v>8</v>
      </c>
      <c r="C234" t="s">
        <v>51</v>
      </c>
      <c r="D234">
        <v>1.9111578664867599</v>
      </c>
      <c r="E234">
        <v>1.67429324835246</v>
      </c>
      <c r="F234">
        <v>2.1815320549302801</v>
      </c>
    </row>
    <row r="235" spans="1:6" x14ac:dyDescent="0.25">
      <c r="A235" s="1">
        <v>43617</v>
      </c>
      <c r="B235" t="s">
        <v>8</v>
      </c>
      <c r="C235" t="s">
        <v>51</v>
      </c>
      <c r="D235">
        <v>1.9016483347694499</v>
      </c>
      <c r="E235">
        <v>1.65999608775216</v>
      </c>
      <c r="F235">
        <v>2.1784788625787002</v>
      </c>
    </row>
    <row r="236" spans="1:6" x14ac:dyDescent="0.25">
      <c r="A236" s="1">
        <v>43647</v>
      </c>
      <c r="B236" t="s">
        <v>8</v>
      </c>
      <c r="C236" t="s">
        <v>51</v>
      </c>
      <c r="D236">
        <v>1.94833320985763</v>
      </c>
      <c r="E236">
        <v>1.6970528180919</v>
      </c>
      <c r="F236">
        <v>2.2368203606663499</v>
      </c>
    </row>
    <row r="237" spans="1:6" x14ac:dyDescent="0.25">
      <c r="A237" s="1">
        <v>43678</v>
      </c>
      <c r="B237" t="s">
        <v>8</v>
      </c>
      <c r="C237" t="s">
        <v>51</v>
      </c>
      <c r="D237">
        <v>2.0060515044761602</v>
      </c>
      <c r="E237">
        <v>1.7412082375861</v>
      </c>
      <c r="F237">
        <v>2.3111782679078199</v>
      </c>
    </row>
    <row r="238" spans="1:6" x14ac:dyDescent="0.25">
      <c r="A238" s="1">
        <v>43709</v>
      </c>
      <c r="B238" t="s">
        <v>8</v>
      </c>
      <c r="C238" t="s">
        <v>51</v>
      </c>
      <c r="D238">
        <v>2.0667146059789401</v>
      </c>
      <c r="E238">
        <v>1.78892455398985</v>
      </c>
      <c r="F238">
        <v>2.3876408052202902</v>
      </c>
    </row>
    <row r="239" spans="1:6" x14ac:dyDescent="0.25">
      <c r="A239" s="1">
        <v>43739</v>
      </c>
      <c r="B239" t="s">
        <v>8</v>
      </c>
      <c r="C239" t="s">
        <v>51</v>
      </c>
      <c r="D239">
        <v>2.03238900198938</v>
      </c>
      <c r="E239">
        <v>1.75108714643575</v>
      </c>
      <c r="F239">
        <v>2.3588803468833701</v>
      </c>
    </row>
    <row r="240" spans="1:6" x14ac:dyDescent="0.25">
      <c r="A240" s="1">
        <v>43770</v>
      </c>
      <c r="B240" t="s">
        <v>8</v>
      </c>
      <c r="C240" t="s">
        <v>51</v>
      </c>
      <c r="D240">
        <v>1.9870311936294101</v>
      </c>
      <c r="E240">
        <v>1.7024444717888501</v>
      </c>
      <c r="F240">
        <v>2.3191904522487201</v>
      </c>
    </row>
    <row r="241" spans="1:6" x14ac:dyDescent="0.25">
      <c r="A241" s="1">
        <v>43800</v>
      </c>
      <c r="B241" t="s">
        <v>8</v>
      </c>
      <c r="C241" t="s">
        <v>51</v>
      </c>
      <c r="D241">
        <v>1.9295039235125899</v>
      </c>
      <c r="E241">
        <v>1.6464748414645001</v>
      </c>
      <c r="F241">
        <v>2.26118571452872</v>
      </c>
    </row>
    <row r="242" spans="1:6" x14ac:dyDescent="0.25">
      <c r="A242" s="1">
        <v>43831</v>
      </c>
      <c r="B242" t="s">
        <v>8</v>
      </c>
      <c r="C242" t="s">
        <v>51</v>
      </c>
      <c r="D242">
        <v>1.9802406879619601</v>
      </c>
      <c r="E242">
        <v>1.6870401916111899</v>
      </c>
      <c r="F242">
        <v>2.32439819854857</v>
      </c>
    </row>
    <row r="243" spans="1:6" x14ac:dyDescent="0.25">
      <c r="A243" s="1">
        <v>43862</v>
      </c>
      <c r="B243" t="s">
        <v>8</v>
      </c>
      <c r="C243" t="s">
        <v>51</v>
      </c>
      <c r="D243">
        <v>1.9499643636589099</v>
      </c>
      <c r="E243">
        <v>1.6565450013329499</v>
      </c>
      <c r="F243">
        <v>2.29535630875111</v>
      </c>
    </row>
    <row r="244" spans="1:6" x14ac:dyDescent="0.25">
      <c r="A244" s="1">
        <v>43891</v>
      </c>
      <c r="B244" t="s">
        <v>8</v>
      </c>
      <c r="C244" t="s">
        <v>51</v>
      </c>
      <c r="D244">
        <v>1.8513793931985301</v>
      </c>
      <c r="E244">
        <v>1.5675029997629599</v>
      </c>
      <c r="F244">
        <v>2.1866660912792399</v>
      </c>
    </row>
    <row r="245" spans="1:6" x14ac:dyDescent="0.25">
      <c r="A245" s="1">
        <v>43922</v>
      </c>
      <c r="B245" t="s">
        <v>8</v>
      </c>
      <c r="C245" t="s">
        <v>51</v>
      </c>
      <c r="D245">
        <v>1.8347373181489599</v>
      </c>
      <c r="E245">
        <v>1.5489305001726099</v>
      </c>
      <c r="F245">
        <v>2.1732808710483198</v>
      </c>
    </row>
    <row r="246" spans="1:6" x14ac:dyDescent="0.25">
      <c r="A246" s="1">
        <v>43952</v>
      </c>
      <c r="B246" t="s">
        <v>8</v>
      </c>
      <c r="C246" t="s">
        <v>51</v>
      </c>
      <c r="D246">
        <v>1.81039436915302</v>
      </c>
      <c r="E246">
        <v>1.52474149070675</v>
      </c>
      <c r="F246">
        <v>2.1495629205589202</v>
      </c>
    </row>
    <row r="247" spans="1:6" x14ac:dyDescent="0.25">
      <c r="A247" s="1">
        <v>43983</v>
      </c>
      <c r="B247" t="s">
        <v>8</v>
      </c>
      <c r="C247" t="s">
        <v>51</v>
      </c>
      <c r="D247">
        <v>1.8048504423957401</v>
      </c>
      <c r="E247">
        <v>1.51549255465969</v>
      </c>
      <c r="F247">
        <v>2.1494563661169499</v>
      </c>
    </row>
    <row r="248" spans="1:6" x14ac:dyDescent="0.25">
      <c r="A248" s="1">
        <v>44013</v>
      </c>
      <c r="B248" t="s">
        <v>8</v>
      </c>
      <c r="C248" t="s">
        <v>51</v>
      </c>
      <c r="D248">
        <v>1.8515671821219</v>
      </c>
      <c r="E248">
        <v>1.5515805295471301</v>
      </c>
      <c r="F248">
        <v>2.2095540415884698</v>
      </c>
    </row>
    <row r="249" spans="1:6" x14ac:dyDescent="0.25">
      <c r="A249" s="1">
        <v>44044</v>
      </c>
      <c r="B249" t="s">
        <v>8</v>
      </c>
      <c r="C249" t="s">
        <v>51</v>
      </c>
      <c r="D249">
        <v>1.9089844463876999</v>
      </c>
      <c r="E249">
        <v>1.5946504824632299</v>
      </c>
      <c r="F249">
        <v>2.2852792236459201</v>
      </c>
    </row>
    <row r="250" spans="1:6" x14ac:dyDescent="0.25">
      <c r="A250" s="1">
        <v>44075</v>
      </c>
      <c r="B250" t="s">
        <v>8</v>
      </c>
      <c r="C250" t="s">
        <v>51</v>
      </c>
      <c r="D250">
        <v>1.9693589860780401</v>
      </c>
      <c r="E250">
        <v>1.64083358373677</v>
      </c>
      <c r="F250">
        <v>2.3636612844148801</v>
      </c>
    </row>
    <row r="251" spans="1:6" x14ac:dyDescent="0.25">
      <c r="A251" s="1">
        <v>44105</v>
      </c>
      <c r="B251" t="s">
        <v>8</v>
      </c>
      <c r="C251" t="s">
        <v>51</v>
      </c>
      <c r="D251">
        <v>1.9404764489344399</v>
      </c>
      <c r="E251">
        <v>1.6104137392322699</v>
      </c>
      <c r="F251">
        <v>2.3381872354518798</v>
      </c>
    </row>
    <row r="252" spans="1:6" x14ac:dyDescent="0.25">
      <c r="A252" s="1">
        <v>44136</v>
      </c>
      <c r="B252" t="s">
        <v>8</v>
      </c>
      <c r="C252" t="s">
        <v>51</v>
      </c>
      <c r="D252">
        <v>1.9010430719364599</v>
      </c>
      <c r="E252">
        <v>1.5704621866692301</v>
      </c>
      <c r="F252">
        <v>2.3012109377956</v>
      </c>
    </row>
    <row r="253" spans="1:6" x14ac:dyDescent="0.25">
      <c r="A253" s="1">
        <v>44166</v>
      </c>
      <c r="B253" t="s">
        <v>8</v>
      </c>
      <c r="C253" t="s">
        <v>51</v>
      </c>
      <c r="D253">
        <v>1.84965230317736</v>
      </c>
      <c r="E253">
        <v>1.5228195386121799</v>
      </c>
      <c r="F253">
        <v>2.2466310392676001</v>
      </c>
    </row>
    <row r="254" spans="1:6" x14ac:dyDescent="0.25">
      <c r="A254" s="1">
        <v>41640</v>
      </c>
      <c r="B254" t="s">
        <v>8</v>
      </c>
      <c r="C254" t="s">
        <v>52</v>
      </c>
      <c r="D254">
        <v>2.7902820245470599</v>
      </c>
      <c r="E254">
        <v>2.7428597673146999</v>
      </c>
      <c r="F254">
        <v>2.8385241816911102</v>
      </c>
    </row>
    <row r="255" spans="1:6" x14ac:dyDescent="0.25">
      <c r="A255" s="1">
        <v>41671</v>
      </c>
      <c r="B255" t="s">
        <v>8</v>
      </c>
      <c r="C255" t="s">
        <v>52</v>
      </c>
      <c r="D255">
        <v>2.6805040854664002</v>
      </c>
      <c r="E255">
        <v>2.6363568976918099</v>
      </c>
      <c r="F255">
        <v>2.7253905412020698</v>
      </c>
    </row>
    <row r="256" spans="1:6" x14ac:dyDescent="0.25">
      <c r="A256" s="1">
        <v>41699</v>
      </c>
      <c r="B256" t="s">
        <v>8</v>
      </c>
      <c r="C256" t="s">
        <v>52</v>
      </c>
      <c r="D256">
        <v>2.6110197926080101</v>
      </c>
      <c r="E256">
        <v>2.5677340958164101</v>
      </c>
      <c r="F256">
        <v>2.6550351800439</v>
      </c>
    </row>
    <row r="257" spans="1:6" x14ac:dyDescent="0.25">
      <c r="A257" s="1">
        <v>41730</v>
      </c>
      <c r="B257" t="s">
        <v>8</v>
      </c>
      <c r="C257" t="s">
        <v>52</v>
      </c>
      <c r="D257">
        <v>2.5894546408832801</v>
      </c>
      <c r="E257">
        <v>2.5464924564576399</v>
      </c>
      <c r="F257">
        <v>2.6331416455556602</v>
      </c>
    </row>
    <row r="258" spans="1:6" x14ac:dyDescent="0.25">
      <c r="A258" s="1">
        <v>41760</v>
      </c>
      <c r="B258" t="s">
        <v>8</v>
      </c>
      <c r="C258" t="s">
        <v>52</v>
      </c>
      <c r="D258">
        <v>2.5621361948411301</v>
      </c>
      <c r="E258">
        <v>2.5196198522658899</v>
      </c>
      <c r="F258">
        <v>2.6053699628582798</v>
      </c>
    </row>
    <row r="259" spans="1:6" x14ac:dyDescent="0.25">
      <c r="A259" s="1">
        <v>41791</v>
      </c>
      <c r="B259" t="s">
        <v>8</v>
      </c>
      <c r="C259" t="s">
        <v>52</v>
      </c>
      <c r="D259">
        <v>2.49330476469276</v>
      </c>
      <c r="E259">
        <v>2.4519430401398901</v>
      </c>
      <c r="F259">
        <v>2.5353642184464902</v>
      </c>
    </row>
    <row r="260" spans="1:6" x14ac:dyDescent="0.25">
      <c r="A260" s="1">
        <v>41821</v>
      </c>
      <c r="B260" t="s">
        <v>8</v>
      </c>
      <c r="C260" t="s">
        <v>52</v>
      </c>
      <c r="D260">
        <v>2.5512055592851701</v>
      </c>
      <c r="E260">
        <v>2.50866825464677</v>
      </c>
      <c r="F260">
        <v>2.59446413198383</v>
      </c>
    </row>
    <row r="261" spans="1:6" x14ac:dyDescent="0.25">
      <c r="A261" s="1">
        <v>41852</v>
      </c>
      <c r="B261" t="s">
        <v>8</v>
      </c>
      <c r="C261" t="s">
        <v>52</v>
      </c>
      <c r="D261">
        <v>2.6174552237722102</v>
      </c>
      <c r="E261">
        <v>2.5733888751088201</v>
      </c>
      <c r="F261">
        <v>2.6622761583838499</v>
      </c>
    </row>
    <row r="262" spans="1:6" x14ac:dyDescent="0.25">
      <c r="A262" s="1">
        <v>41883</v>
      </c>
      <c r="B262" t="s">
        <v>8</v>
      </c>
      <c r="C262" t="s">
        <v>52</v>
      </c>
      <c r="D262">
        <v>2.58205359921635</v>
      </c>
      <c r="E262">
        <v>2.5390557773587301</v>
      </c>
      <c r="F262">
        <v>2.6257795707668499</v>
      </c>
    </row>
    <row r="263" spans="1:6" x14ac:dyDescent="0.25">
      <c r="A263" s="1">
        <v>41913</v>
      </c>
      <c r="B263" t="s">
        <v>8</v>
      </c>
      <c r="C263" t="s">
        <v>52</v>
      </c>
      <c r="D263">
        <v>2.6009601054845199</v>
      </c>
      <c r="E263">
        <v>2.5578009950684302</v>
      </c>
      <c r="F263">
        <v>2.6448474620837699</v>
      </c>
    </row>
    <row r="264" spans="1:6" x14ac:dyDescent="0.25">
      <c r="A264" s="1">
        <v>41944</v>
      </c>
      <c r="B264" t="s">
        <v>8</v>
      </c>
      <c r="C264" t="s">
        <v>52</v>
      </c>
      <c r="D264">
        <v>2.5547241893488</v>
      </c>
      <c r="E264">
        <v>2.5122303170210998</v>
      </c>
      <c r="F264">
        <v>2.59793683701057</v>
      </c>
    </row>
    <row r="265" spans="1:6" x14ac:dyDescent="0.25">
      <c r="A265" s="1">
        <v>41974</v>
      </c>
      <c r="B265" t="s">
        <v>8</v>
      </c>
      <c r="C265" t="s">
        <v>52</v>
      </c>
      <c r="D265">
        <v>2.4566543154575702</v>
      </c>
      <c r="E265">
        <v>2.41590229437181</v>
      </c>
      <c r="F265">
        <v>2.4980937514385602</v>
      </c>
    </row>
    <row r="266" spans="1:6" x14ac:dyDescent="0.25">
      <c r="A266" s="1">
        <v>42005</v>
      </c>
      <c r="B266" t="s">
        <v>8</v>
      </c>
      <c r="C266" t="s">
        <v>52</v>
      </c>
      <c r="D266">
        <v>2.4986595989612601</v>
      </c>
      <c r="E266">
        <v>2.4572300322660601</v>
      </c>
      <c r="F266">
        <v>2.5407876794195201</v>
      </c>
    </row>
    <row r="267" spans="1:6" x14ac:dyDescent="0.25">
      <c r="A267" s="1">
        <v>42036</v>
      </c>
      <c r="B267" t="s">
        <v>8</v>
      </c>
      <c r="C267" t="s">
        <v>52</v>
      </c>
      <c r="D267">
        <v>2.4698404768894102</v>
      </c>
      <c r="E267">
        <v>2.42915971021616</v>
      </c>
      <c r="F267">
        <v>2.51120251814916</v>
      </c>
    </row>
    <row r="268" spans="1:6" x14ac:dyDescent="0.25">
      <c r="A268" s="1">
        <v>42064</v>
      </c>
      <c r="B268" t="s">
        <v>8</v>
      </c>
      <c r="C268" t="s">
        <v>52</v>
      </c>
      <c r="D268">
        <v>2.3278439561933002</v>
      </c>
      <c r="E268">
        <v>2.2893628198713301</v>
      </c>
      <c r="F268">
        <v>2.3669719091053598</v>
      </c>
    </row>
    <row r="269" spans="1:6" x14ac:dyDescent="0.25">
      <c r="A269" s="1">
        <v>42095</v>
      </c>
      <c r="B269" t="s">
        <v>8</v>
      </c>
      <c r="C269" t="s">
        <v>52</v>
      </c>
      <c r="D269">
        <v>2.3728873547094298</v>
      </c>
      <c r="E269">
        <v>2.3335243462183501</v>
      </c>
      <c r="F269">
        <v>2.4129143573173799</v>
      </c>
    </row>
    <row r="270" spans="1:6" x14ac:dyDescent="0.25">
      <c r="A270" s="1">
        <v>42125</v>
      </c>
      <c r="B270" t="s">
        <v>8</v>
      </c>
      <c r="C270" t="s">
        <v>52</v>
      </c>
      <c r="D270">
        <v>2.3453264846215398</v>
      </c>
      <c r="E270">
        <v>2.3063598493614799</v>
      </c>
      <c r="F270">
        <v>2.3849514727678098</v>
      </c>
    </row>
    <row r="271" spans="1:6" x14ac:dyDescent="0.25">
      <c r="A271" s="1">
        <v>42156</v>
      </c>
      <c r="B271" t="s">
        <v>8</v>
      </c>
      <c r="C271" t="s">
        <v>52</v>
      </c>
      <c r="D271">
        <v>2.36006413100931</v>
      </c>
      <c r="E271">
        <v>2.3209124812323298</v>
      </c>
      <c r="F271">
        <v>2.3998762329544201</v>
      </c>
    </row>
    <row r="272" spans="1:6" x14ac:dyDescent="0.25">
      <c r="A272" s="1">
        <v>42186</v>
      </c>
      <c r="B272" t="s">
        <v>8</v>
      </c>
      <c r="C272" t="s">
        <v>52</v>
      </c>
      <c r="D272">
        <v>2.4042503463961298</v>
      </c>
      <c r="E272">
        <v>2.36366040269291</v>
      </c>
      <c r="F272">
        <v>2.4455373206575199</v>
      </c>
    </row>
    <row r="273" spans="1:6" x14ac:dyDescent="0.25">
      <c r="A273" s="1">
        <v>42217</v>
      </c>
      <c r="B273" t="s">
        <v>8</v>
      </c>
      <c r="C273" t="s">
        <v>52</v>
      </c>
      <c r="D273">
        <v>2.8341887760000199</v>
      </c>
      <c r="E273">
        <v>2.78445498558838</v>
      </c>
      <c r="F273">
        <v>2.88481087307184</v>
      </c>
    </row>
    <row r="274" spans="1:6" x14ac:dyDescent="0.25">
      <c r="A274" s="1">
        <v>42248</v>
      </c>
      <c r="B274" t="s">
        <v>8</v>
      </c>
      <c r="C274" t="s">
        <v>52</v>
      </c>
      <c r="D274">
        <v>2.78733510664734</v>
      </c>
      <c r="E274">
        <v>2.7400125315535901</v>
      </c>
      <c r="F274">
        <v>2.8354749868036402</v>
      </c>
    </row>
    <row r="275" spans="1:6" x14ac:dyDescent="0.25">
      <c r="A275" s="1">
        <v>42278</v>
      </c>
      <c r="B275" t="s">
        <v>8</v>
      </c>
      <c r="C275" t="s">
        <v>52</v>
      </c>
      <c r="D275">
        <v>2.68467507692848</v>
      </c>
      <c r="E275">
        <v>2.6393972319979602</v>
      </c>
      <c r="F275">
        <v>2.7307296458839798</v>
      </c>
    </row>
    <row r="276" spans="1:6" x14ac:dyDescent="0.25">
      <c r="A276" s="1">
        <v>42309</v>
      </c>
      <c r="B276" t="s">
        <v>8</v>
      </c>
      <c r="C276" t="s">
        <v>52</v>
      </c>
      <c r="D276">
        <v>2.6273306135430801</v>
      </c>
      <c r="E276">
        <v>2.5833458061272201</v>
      </c>
      <c r="F276">
        <v>2.6720643192592899</v>
      </c>
    </row>
    <row r="277" spans="1:6" x14ac:dyDescent="0.25">
      <c r="A277" s="1">
        <v>42339</v>
      </c>
      <c r="B277" t="s">
        <v>8</v>
      </c>
      <c r="C277" t="s">
        <v>52</v>
      </c>
      <c r="D277">
        <v>2.53155237803053</v>
      </c>
      <c r="E277">
        <v>2.4895663531372101</v>
      </c>
      <c r="F277">
        <v>2.57424648860477</v>
      </c>
    </row>
    <row r="278" spans="1:6" x14ac:dyDescent="0.25">
      <c r="A278" s="1">
        <v>42370</v>
      </c>
      <c r="B278" t="s">
        <v>8</v>
      </c>
      <c r="C278" t="s">
        <v>52</v>
      </c>
      <c r="D278">
        <v>2.58912505962082</v>
      </c>
      <c r="E278">
        <v>2.5462658386398598</v>
      </c>
      <c r="F278">
        <v>2.63270569499426</v>
      </c>
    </row>
    <row r="279" spans="1:6" x14ac:dyDescent="0.25">
      <c r="A279" s="1">
        <v>42401</v>
      </c>
      <c r="B279" t="s">
        <v>8</v>
      </c>
      <c r="C279" t="s">
        <v>52</v>
      </c>
      <c r="D279">
        <v>2.6129066209454401</v>
      </c>
      <c r="E279">
        <v>2.5697003526810001</v>
      </c>
      <c r="F279">
        <v>2.65683934808101</v>
      </c>
    </row>
    <row r="280" spans="1:6" x14ac:dyDescent="0.25">
      <c r="A280" s="1">
        <v>42430</v>
      </c>
      <c r="B280" t="s">
        <v>8</v>
      </c>
      <c r="C280" t="s">
        <v>52</v>
      </c>
      <c r="D280">
        <v>2.4162969657529998</v>
      </c>
      <c r="E280">
        <v>2.37615816717727</v>
      </c>
      <c r="F280">
        <v>2.4571138013270102</v>
      </c>
    </row>
    <row r="281" spans="1:6" x14ac:dyDescent="0.25">
      <c r="A281" s="1">
        <v>42461</v>
      </c>
      <c r="B281" t="s">
        <v>8</v>
      </c>
      <c r="C281" t="s">
        <v>52</v>
      </c>
      <c r="D281">
        <v>2.3078225433834301</v>
      </c>
      <c r="E281">
        <v>2.2695033548361101</v>
      </c>
      <c r="F281">
        <v>2.3467887282032098</v>
      </c>
    </row>
    <row r="282" spans="1:6" x14ac:dyDescent="0.25">
      <c r="A282" s="1">
        <v>42491</v>
      </c>
      <c r="B282" t="s">
        <v>8</v>
      </c>
      <c r="C282" t="s">
        <v>52</v>
      </c>
      <c r="D282">
        <v>2.23848385215038</v>
      </c>
      <c r="E282">
        <v>2.2011999090204699</v>
      </c>
      <c r="F282">
        <v>2.2763993110320402</v>
      </c>
    </row>
    <row r="283" spans="1:6" x14ac:dyDescent="0.25">
      <c r="A283" s="1">
        <v>42522</v>
      </c>
      <c r="B283" t="s">
        <v>8</v>
      </c>
      <c r="C283" t="s">
        <v>52</v>
      </c>
      <c r="D283">
        <v>2.2538081714853702</v>
      </c>
      <c r="E283">
        <v>2.2164272486105898</v>
      </c>
      <c r="F283">
        <v>2.2918195384209099</v>
      </c>
    </row>
    <row r="284" spans="1:6" x14ac:dyDescent="0.25">
      <c r="A284" s="1">
        <v>42552</v>
      </c>
      <c r="B284" t="s">
        <v>8</v>
      </c>
      <c r="C284" t="s">
        <v>52</v>
      </c>
      <c r="D284">
        <v>2.2908929256641599</v>
      </c>
      <c r="E284">
        <v>2.2527501589847101</v>
      </c>
      <c r="F284">
        <v>2.3296815121404202</v>
      </c>
    </row>
    <row r="285" spans="1:6" x14ac:dyDescent="0.25">
      <c r="A285" s="1">
        <v>42583</v>
      </c>
      <c r="B285" t="s">
        <v>8</v>
      </c>
      <c r="C285" t="s">
        <v>52</v>
      </c>
      <c r="D285">
        <v>2.2626333970458501</v>
      </c>
      <c r="E285">
        <v>2.2245406758167499</v>
      </c>
      <c r="F285">
        <v>2.3013784126683099</v>
      </c>
    </row>
    <row r="286" spans="1:6" x14ac:dyDescent="0.25">
      <c r="A286" s="1">
        <v>42614</v>
      </c>
      <c r="B286" t="s">
        <v>8</v>
      </c>
      <c r="C286" t="s">
        <v>52</v>
      </c>
      <c r="D286">
        <v>2.3177818004335098</v>
      </c>
      <c r="E286">
        <v>2.2789989282486598</v>
      </c>
      <c r="F286">
        <v>2.3572246602806</v>
      </c>
    </row>
    <row r="287" spans="1:6" x14ac:dyDescent="0.25">
      <c r="A287" s="1">
        <v>42644</v>
      </c>
      <c r="B287" t="s">
        <v>8</v>
      </c>
      <c r="C287" t="s">
        <v>52</v>
      </c>
      <c r="D287">
        <v>2.31421166512134</v>
      </c>
      <c r="E287">
        <v>2.2753815957938599</v>
      </c>
      <c r="F287">
        <v>2.3537043812271699</v>
      </c>
    </row>
    <row r="288" spans="1:6" x14ac:dyDescent="0.25">
      <c r="A288" s="1">
        <v>42675</v>
      </c>
      <c r="B288" t="s">
        <v>8</v>
      </c>
      <c r="C288" t="s">
        <v>52</v>
      </c>
      <c r="D288">
        <v>2.3142445952194</v>
      </c>
      <c r="E288">
        <v>2.27579051797973</v>
      </c>
      <c r="F288">
        <v>2.3533484317601499</v>
      </c>
    </row>
    <row r="289" spans="1:6" x14ac:dyDescent="0.25">
      <c r="A289" s="1">
        <v>42705</v>
      </c>
      <c r="B289" t="s">
        <v>8</v>
      </c>
      <c r="C289" t="s">
        <v>52</v>
      </c>
      <c r="D289">
        <v>2.3114944015080301</v>
      </c>
      <c r="E289">
        <v>2.2731511360467498</v>
      </c>
      <c r="F289">
        <v>2.3504844369895399</v>
      </c>
    </row>
    <row r="290" spans="1:6" x14ac:dyDescent="0.25">
      <c r="A290" s="1">
        <v>42736</v>
      </c>
      <c r="B290" t="s">
        <v>8</v>
      </c>
      <c r="C290" t="s">
        <v>52</v>
      </c>
      <c r="D290">
        <v>2.36646858743419</v>
      </c>
      <c r="E290">
        <v>2.3272468502343799</v>
      </c>
      <c r="F290">
        <v>2.4063513394587899</v>
      </c>
    </row>
    <row r="291" spans="1:6" x14ac:dyDescent="0.25">
      <c r="A291" s="1">
        <v>42767</v>
      </c>
      <c r="B291" t="s">
        <v>8</v>
      </c>
      <c r="C291" t="s">
        <v>52</v>
      </c>
      <c r="D291">
        <v>2.3345448125586499</v>
      </c>
      <c r="E291">
        <v>2.2960781355591098</v>
      </c>
      <c r="F291">
        <v>2.3736559298394</v>
      </c>
    </row>
    <row r="292" spans="1:6" x14ac:dyDescent="0.25">
      <c r="A292" s="1">
        <v>42795</v>
      </c>
      <c r="B292" t="s">
        <v>8</v>
      </c>
      <c r="C292" t="s">
        <v>52</v>
      </c>
      <c r="D292">
        <v>2.26529453717834</v>
      </c>
      <c r="E292">
        <v>2.2268562871707198</v>
      </c>
      <c r="F292">
        <v>2.3043962781674701</v>
      </c>
    </row>
    <row r="293" spans="1:6" x14ac:dyDescent="0.25">
      <c r="A293" s="1">
        <v>42826</v>
      </c>
      <c r="B293" t="s">
        <v>8</v>
      </c>
      <c r="C293" t="s">
        <v>52</v>
      </c>
      <c r="D293">
        <v>2.2245103712267098</v>
      </c>
      <c r="E293">
        <v>2.17078814422266</v>
      </c>
      <c r="F293">
        <v>2.2795621050653998</v>
      </c>
    </row>
    <row r="294" spans="1:6" x14ac:dyDescent="0.25">
      <c r="A294" s="1">
        <v>42856</v>
      </c>
      <c r="B294" t="s">
        <v>8</v>
      </c>
      <c r="C294" t="s">
        <v>52</v>
      </c>
      <c r="D294">
        <v>2.1856972652500901</v>
      </c>
      <c r="E294">
        <v>2.1154566715728</v>
      </c>
      <c r="F294">
        <v>2.2582700934119901</v>
      </c>
    </row>
    <row r="295" spans="1:6" x14ac:dyDescent="0.25">
      <c r="A295" s="1">
        <v>42887</v>
      </c>
      <c r="B295" t="s">
        <v>8</v>
      </c>
      <c r="C295" t="s">
        <v>52</v>
      </c>
      <c r="D295">
        <v>2.1939301537956002</v>
      </c>
      <c r="E295">
        <v>2.11040937146785</v>
      </c>
      <c r="F295">
        <v>2.2807563237770099</v>
      </c>
    </row>
    <row r="296" spans="1:6" x14ac:dyDescent="0.25">
      <c r="A296" s="1">
        <v>42917</v>
      </c>
      <c r="B296" t="s">
        <v>8</v>
      </c>
      <c r="C296" t="s">
        <v>52</v>
      </c>
      <c r="D296">
        <v>2.2384206753617701</v>
      </c>
      <c r="E296">
        <v>2.1410182604863599</v>
      </c>
      <c r="F296">
        <v>2.3402542670275199</v>
      </c>
    </row>
    <row r="297" spans="1:6" x14ac:dyDescent="0.25">
      <c r="A297" s="1">
        <v>42948</v>
      </c>
      <c r="B297" t="s">
        <v>8</v>
      </c>
      <c r="C297" t="s">
        <v>52</v>
      </c>
      <c r="D297">
        <v>2.29642027385152</v>
      </c>
      <c r="E297">
        <v>2.1848543988985498</v>
      </c>
      <c r="F297">
        <v>2.4136830705125298</v>
      </c>
    </row>
    <row r="298" spans="1:6" x14ac:dyDescent="0.25">
      <c r="A298" s="1">
        <v>42979</v>
      </c>
      <c r="B298" t="s">
        <v>8</v>
      </c>
      <c r="C298" t="s">
        <v>52</v>
      </c>
      <c r="D298">
        <v>2.3606939103075</v>
      </c>
      <c r="E298">
        <v>2.2366780973442202</v>
      </c>
      <c r="F298">
        <v>2.49158595721934</v>
      </c>
    </row>
    <row r="299" spans="1:6" x14ac:dyDescent="0.25">
      <c r="A299" s="1">
        <v>43009</v>
      </c>
      <c r="B299" t="s">
        <v>8</v>
      </c>
      <c r="C299" t="s">
        <v>52</v>
      </c>
      <c r="D299">
        <v>2.3270195989992302</v>
      </c>
      <c r="E299">
        <v>2.19520239808858</v>
      </c>
      <c r="F299">
        <v>2.4667521404138202</v>
      </c>
    </row>
    <row r="300" spans="1:6" x14ac:dyDescent="0.25">
      <c r="A300" s="1">
        <v>43040</v>
      </c>
      <c r="B300" t="s">
        <v>8</v>
      </c>
      <c r="C300" t="s">
        <v>52</v>
      </c>
      <c r="D300">
        <v>2.2791740796074502</v>
      </c>
      <c r="E300">
        <v>2.1398123340117001</v>
      </c>
      <c r="F300">
        <v>2.42761218009041</v>
      </c>
    </row>
    <row r="301" spans="1:6" x14ac:dyDescent="0.25">
      <c r="A301" s="1">
        <v>43070</v>
      </c>
      <c r="B301" t="s">
        <v>8</v>
      </c>
      <c r="C301" t="s">
        <v>52</v>
      </c>
      <c r="D301">
        <v>2.2305139284076798</v>
      </c>
      <c r="E301">
        <v>2.0877199723378501</v>
      </c>
      <c r="F301">
        <v>2.38307457453186</v>
      </c>
    </row>
    <row r="302" spans="1:6" x14ac:dyDescent="0.25">
      <c r="A302" s="1">
        <v>43101</v>
      </c>
      <c r="B302" t="s">
        <v>8</v>
      </c>
      <c r="C302" t="s">
        <v>52</v>
      </c>
      <c r="D302">
        <v>2.2704762917324102</v>
      </c>
      <c r="E302">
        <v>2.1169401188739201</v>
      </c>
      <c r="F302">
        <v>2.4351480447454099</v>
      </c>
    </row>
    <row r="303" spans="1:6" x14ac:dyDescent="0.25">
      <c r="A303" s="1">
        <v>43132</v>
      </c>
      <c r="B303" t="s">
        <v>8</v>
      </c>
      <c r="C303" t="s">
        <v>52</v>
      </c>
      <c r="D303">
        <v>2.24550026593815</v>
      </c>
      <c r="E303">
        <v>2.0879382000494302</v>
      </c>
      <c r="F303">
        <v>2.4149524369107098</v>
      </c>
    </row>
    <row r="304" spans="1:6" x14ac:dyDescent="0.25">
      <c r="A304" s="1">
        <v>43160</v>
      </c>
      <c r="B304" t="s">
        <v>8</v>
      </c>
      <c r="C304" t="s">
        <v>52</v>
      </c>
      <c r="D304">
        <v>2.1189527872362302</v>
      </c>
      <c r="E304">
        <v>1.9616690271575401</v>
      </c>
      <c r="F304">
        <v>2.2888473296854501</v>
      </c>
    </row>
    <row r="305" spans="1:6" x14ac:dyDescent="0.25">
      <c r="A305" s="1">
        <v>43191</v>
      </c>
      <c r="B305" t="s">
        <v>8</v>
      </c>
      <c r="C305" t="s">
        <v>52</v>
      </c>
      <c r="D305">
        <v>2.0908476210650702</v>
      </c>
      <c r="E305">
        <v>1.9261211258676401</v>
      </c>
      <c r="F305">
        <v>2.2696619209470601</v>
      </c>
    </row>
    <row r="306" spans="1:6" x14ac:dyDescent="0.25">
      <c r="A306" s="1">
        <v>43221</v>
      </c>
      <c r="B306" t="s">
        <v>8</v>
      </c>
      <c r="C306" t="s">
        <v>52</v>
      </c>
      <c r="D306">
        <v>2.0544939782110898</v>
      </c>
      <c r="E306">
        <v>1.8847400324507799</v>
      </c>
      <c r="F306">
        <v>2.2395372485493499</v>
      </c>
    </row>
    <row r="307" spans="1:6" x14ac:dyDescent="0.25">
      <c r="A307" s="1">
        <v>43252</v>
      </c>
      <c r="B307" t="s">
        <v>8</v>
      </c>
      <c r="C307" t="s">
        <v>52</v>
      </c>
      <c r="D307">
        <v>2.0393676998274501</v>
      </c>
      <c r="E307">
        <v>1.8624239630839801</v>
      </c>
      <c r="F307">
        <v>2.2331223703826302</v>
      </c>
    </row>
    <row r="308" spans="1:6" x14ac:dyDescent="0.25">
      <c r="A308" s="1">
        <v>43282</v>
      </c>
      <c r="B308" t="s">
        <v>8</v>
      </c>
      <c r="C308" t="s">
        <v>52</v>
      </c>
      <c r="D308">
        <v>2.08419561923133</v>
      </c>
      <c r="E308">
        <v>1.89701464773869</v>
      </c>
      <c r="F308">
        <v>2.2898459874314301</v>
      </c>
    </row>
    <row r="309" spans="1:6" x14ac:dyDescent="0.25">
      <c r="A309" s="1">
        <v>43313</v>
      </c>
      <c r="B309" t="s">
        <v>8</v>
      </c>
      <c r="C309" t="s">
        <v>52</v>
      </c>
      <c r="D309">
        <v>2.1403801017745301</v>
      </c>
      <c r="E309">
        <v>1.9397043040139801</v>
      </c>
      <c r="F309">
        <v>2.3618171958437402</v>
      </c>
    </row>
    <row r="310" spans="1:6" x14ac:dyDescent="0.25">
      <c r="A310" s="1">
        <v>43344</v>
      </c>
      <c r="B310" t="s">
        <v>8</v>
      </c>
      <c r="C310" t="s">
        <v>52</v>
      </c>
      <c r="D310">
        <v>2.1993933861952502</v>
      </c>
      <c r="E310">
        <v>1.9862595838986801</v>
      </c>
      <c r="F310">
        <v>2.4353973198933998</v>
      </c>
    </row>
    <row r="311" spans="1:6" x14ac:dyDescent="0.25">
      <c r="A311" s="1">
        <v>43374</v>
      </c>
      <c r="B311" t="s">
        <v>8</v>
      </c>
      <c r="C311" t="s">
        <v>52</v>
      </c>
      <c r="D311">
        <v>2.1588024362440899</v>
      </c>
      <c r="E311">
        <v>1.9395950799061099</v>
      </c>
      <c r="F311">
        <v>2.4027839661044199</v>
      </c>
    </row>
    <row r="312" spans="1:6" x14ac:dyDescent="0.25">
      <c r="A312" s="1">
        <v>43405</v>
      </c>
      <c r="B312" t="s">
        <v>8</v>
      </c>
      <c r="C312" t="s">
        <v>52</v>
      </c>
      <c r="D312">
        <v>2.1065277969912799</v>
      </c>
      <c r="E312">
        <v>1.8805417277363901</v>
      </c>
      <c r="F312">
        <v>2.35967077680233</v>
      </c>
    </row>
    <row r="313" spans="1:6" x14ac:dyDescent="0.25">
      <c r="A313" s="1">
        <v>43435</v>
      </c>
      <c r="B313" t="s">
        <v>8</v>
      </c>
      <c r="C313" t="s">
        <v>52</v>
      </c>
      <c r="D313">
        <v>2.0416995483579599</v>
      </c>
      <c r="E313">
        <v>1.8138678384532001</v>
      </c>
      <c r="F313">
        <v>2.2981481657009</v>
      </c>
    </row>
    <row r="314" spans="1:6" x14ac:dyDescent="0.25">
      <c r="A314" s="1">
        <v>43466</v>
      </c>
      <c r="B314" t="s">
        <v>8</v>
      </c>
      <c r="C314" t="s">
        <v>52</v>
      </c>
      <c r="D314">
        <v>2.0855332674487701</v>
      </c>
      <c r="E314">
        <v>1.84739975551569</v>
      </c>
      <c r="F314">
        <v>2.3543626638737001</v>
      </c>
    </row>
    <row r="315" spans="1:6" x14ac:dyDescent="0.25">
      <c r="A315" s="1">
        <v>43497</v>
      </c>
      <c r="B315" t="s">
        <v>8</v>
      </c>
      <c r="C315" t="s">
        <v>52</v>
      </c>
      <c r="D315">
        <v>2.0439901200671802</v>
      </c>
      <c r="E315">
        <v>1.80225803702737</v>
      </c>
      <c r="F315">
        <v>2.3181450852749301</v>
      </c>
    </row>
    <row r="316" spans="1:6" x14ac:dyDescent="0.25">
      <c r="A316" s="1">
        <v>43525</v>
      </c>
      <c r="B316" t="s">
        <v>8</v>
      </c>
      <c r="C316" t="s">
        <v>52</v>
      </c>
      <c r="D316">
        <v>1.9324070704796099</v>
      </c>
      <c r="E316">
        <v>1.6948262380921699</v>
      </c>
      <c r="F316">
        <v>2.20329199661382</v>
      </c>
    </row>
    <row r="317" spans="1:6" x14ac:dyDescent="0.25">
      <c r="A317" s="1">
        <v>43556</v>
      </c>
      <c r="B317" t="s">
        <v>8</v>
      </c>
      <c r="C317" t="s">
        <v>52</v>
      </c>
      <c r="D317">
        <v>1.9086087615612599</v>
      </c>
      <c r="E317">
        <v>1.66739431821436</v>
      </c>
      <c r="F317">
        <v>2.1847186144963699</v>
      </c>
    </row>
    <row r="318" spans="1:6" x14ac:dyDescent="0.25">
      <c r="A318" s="1">
        <v>43586</v>
      </c>
      <c r="B318" t="s">
        <v>8</v>
      </c>
      <c r="C318" t="s">
        <v>52</v>
      </c>
      <c r="D318">
        <v>1.87716797945061</v>
      </c>
      <c r="E318">
        <v>1.6349018031262601</v>
      </c>
      <c r="F318">
        <v>2.1553341101811401</v>
      </c>
    </row>
    <row r="319" spans="1:6" x14ac:dyDescent="0.25">
      <c r="A319" s="1">
        <v>43617</v>
      </c>
      <c r="B319" t="s">
        <v>8</v>
      </c>
      <c r="C319" t="s">
        <v>52</v>
      </c>
      <c r="D319">
        <v>1.8651381004457701</v>
      </c>
      <c r="E319">
        <v>1.6179350544014299</v>
      </c>
      <c r="F319">
        <v>2.1501111087684999</v>
      </c>
    </row>
    <row r="320" spans="1:6" x14ac:dyDescent="0.25">
      <c r="A320" s="1">
        <v>43647</v>
      </c>
      <c r="B320" t="s">
        <v>8</v>
      </c>
      <c r="C320" t="s">
        <v>52</v>
      </c>
      <c r="D320">
        <v>1.9123483583099199</v>
      </c>
      <c r="E320">
        <v>1.65679195995541</v>
      </c>
      <c r="F320">
        <v>2.2073237509126198</v>
      </c>
    </row>
    <row r="321" spans="1:6" x14ac:dyDescent="0.25">
      <c r="A321" s="1">
        <v>43678</v>
      </c>
      <c r="B321" t="s">
        <v>8</v>
      </c>
      <c r="C321" t="s">
        <v>52</v>
      </c>
      <c r="D321">
        <v>1.9705143741417801</v>
      </c>
      <c r="E321">
        <v>1.7018514333261101</v>
      </c>
      <c r="F321">
        <v>2.2815898160455501</v>
      </c>
    </row>
    <row r="322" spans="1:6" x14ac:dyDescent="0.25">
      <c r="A322" s="1">
        <v>43709</v>
      </c>
      <c r="B322" t="s">
        <v>8</v>
      </c>
      <c r="C322" t="s">
        <v>52</v>
      </c>
      <c r="D322">
        <v>2.0316635585017599</v>
      </c>
      <c r="E322">
        <v>1.75072929169882</v>
      </c>
      <c r="F322">
        <v>2.3576785026191902</v>
      </c>
    </row>
    <row r="323" spans="1:6" x14ac:dyDescent="0.25">
      <c r="A323" s="1">
        <v>43739</v>
      </c>
      <c r="B323" t="s">
        <v>8</v>
      </c>
      <c r="C323" t="s">
        <v>52</v>
      </c>
      <c r="D323">
        <v>1.99979873583808</v>
      </c>
      <c r="E323">
        <v>1.7150805877859401</v>
      </c>
      <c r="F323">
        <v>2.3317825484936998</v>
      </c>
    </row>
    <row r="324" spans="1:6" x14ac:dyDescent="0.25">
      <c r="A324" s="1">
        <v>43770</v>
      </c>
      <c r="B324" t="s">
        <v>8</v>
      </c>
      <c r="C324" t="s">
        <v>52</v>
      </c>
      <c r="D324">
        <v>1.9570679979529599</v>
      </c>
      <c r="E324">
        <v>1.6685728061815699</v>
      </c>
      <c r="F324">
        <v>2.2954438274567099</v>
      </c>
    </row>
    <row r="325" spans="1:6" x14ac:dyDescent="0.25">
      <c r="A325" s="1">
        <v>43800</v>
      </c>
      <c r="B325" t="s">
        <v>8</v>
      </c>
      <c r="C325" t="s">
        <v>52</v>
      </c>
      <c r="D325">
        <v>1.90219514001771</v>
      </c>
      <c r="E325">
        <v>1.61553428388392</v>
      </c>
      <c r="F325">
        <v>2.2397211788090901</v>
      </c>
    </row>
    <row r="326" spans="1:6" x14ac:dyDescent="0.25">
      <c r="A326" s="1">
        <v>43831</v>
      </c>
      <c r="B326" t="s">
        <v>8</v>
      </c>
      <c r="C326" t="s">
        <v>52</v>
      </c>
      <c r="D326">
        <v>1.95355618333628</v>
      </c>
      <c r="E326">
        <v>1.6575176153125399</v>
      </c>
      <c r="F326">
        <v>2.3024682972867199</v>
      </c>
    </row>
    <row r="327" spans="1:6" x14ac:dyDescent="0.25">
      <c r="A327" s="1">
        <v>43862</v>
      </c>
      <c r="B327" t="s">
        <v>8</v>
      </c>
      <c r="C327" t="s">
        <v>52</v>
      </c>
      <c r="D327">
        <v>1.92501059910825</v>
      </c>
      <c r="E327">
        <v>1.62900748567266</v>
      </c>
      <c r="F327">
        <v>2.27479974111287</v>
      </c>
    </row>
    <row r="328" spans="1:6" x14ac:dyDescent="0.25">
      <c r="A328" s="1">
        <v>43891</v>
      </c>
      <c r="B328" t="s">
        <v>8</v>
      </c>
      <c r="C328" t="s">
        <v>52</v>
      </c>
      <c r="D328">
        <v>1.8288223095766201</v>
      </c>
      <c r="E328">
        <v>1.54250969608838</v>
      </c>
      <c r="F328">
        <v>2.1682787787244702</v>
      </c>
    </row>
    <row r="329" spans="1:6" x14ac:dyDescent="0.25">
      <c r="A329" s="1">
        <v>43922</v>
      </c>
      <c r="B329" t="s">
        <v>8</v>
      </c>
      <c r="C329" t="s">
        <v>52</v>
      </c>
      <c r="D329">
        <v>1.81151270271417</v>
      </c>
      <c r="E329">
        <v>1.5236088391389599</v>
      </c>
      <c r="F329">
        <v>2.1538193976016302</v>
      </c>
    </row>
    <row r="330" spans="1:6" x14ac:dyDescent="0.25">
      <c r="A330" s="1">
        <v>43952</v>
      </c>
      <c r="B330" t="s">
        <v>8</v>
      </c>
      <c r="C330" t="s">
        <v>52</v>
      </c>
      <c r="D330">
        <v>1.78664723699244</v>
      </c>
      <c r="E330">
        <v>1.4993755901782899</v>
      </c>
      <c r="F330">
        <v>2.12895846135067</v>
      </c>
    </row>
    <row r="331" spans="1:6" x14ac:dyDescent="0.25">
      <c r="A331" s="1">
        <v>43983</v>
      </c>
      <c r="B331" t="s">
        <v>8</v>
      </c>
      <c r="C331" t="s">
        <v>52</v>
      </c>
      <c r="D331">
        <v>1.78032071819086</v>
      </c>
      <c r="E331">
        <v>1.4896016172465401</v>
      </c>
      <c r="F331">
        <v>2.1277782078931802</v>
      </c>
    </row>
    <row r="332" spans="1:6" x14ac:dyDescent="0.25">
      <c r="A332" s="1">
        <v>44013</v>
      </c>
      <c r="B332" t="s">
        <v>8</v>
      </c>
      <c r="C332" t="s">
        <v>52</v>
      </c>
      <c r="D332">
        <v>1.82538408382935</v>
      </c>
      <c r="E332">
        <v>1.52467599222407</v>
      </c>
      <c r="F332">
        <v>2.1854000918825101</v>
      </c>
    </row>
    <row r="333" spans="1:6" x14ac:dyDescent="0.25">
      <c r="A333" s="1">
        <v>44044</v>
      </c>
      <c r="B333" t="s">
        <v>8</v>
      </c>
      <c r="C333" t="s">
        <v>52</v>
      </c>
      <c r="D333">
        <v>1.8809049930077799</v>
      </c>
      <c r="E333">
        <v>1.56609504319173</v>
      </c>
      <c r="F333">
        <v>2.2589967372040798</v>
      </c>
    </row>
    <row r="334" spans="1:6" x14ac:dyDescent="0.25">
      <c r="A334" s="1">
        <v>44075</v>
      </c>
      <c r="B334" t="s">
        <v>8</v>
      </c>
      <c r="C334" t="s">
        <v>52</v>
      </c>
      <c r="D334">
        <v>1.93927341076222</v>
      </c>
      <c r="E334">
        <v>1.6107191132230201</v>
      </c>
      <c r="F334">
        <v>2.3348461757333201</v>
      </c>
    </row>
    <row r="335" spans="1:6" x14ac:dyDescent="0.25">
      <c r="A335" s="1">
        <v>44105</v>
      </c>
      <c r="B335" t="s">
        <v>8</v>
      </c>
      <c r="C335" t="s">
        <v>52</v>
      </c>
      <c r="D335">
        <v>1.9070644492864901</v>
      </c>
      <c r="E335">
        <v>1.5766018080227</v>
      </c>
      <c r="F335">
        <v>2.3067935069119301</v>
      </c>
    </row>
    <row r="336" spans="1:6" x14ac:dyDescent="0.25">
      <c r="A336" s="1">
        <v>44136</v>
      </c>
      <c r="B336" t="s">
        <v>8</v>
      </c>
      <c r="C336" t="s">
        <v>52</v>
      </c>
      <c r="D336">
        <v>1.8645035695847401</v>
      </c>
      <c r="E336">
        <v>1.5327516553224301</v>
      </c>
      <c r="F336">
        <v>2.2680605490932799</v>
      </c>
    </row>
    <row r="337" spans="1:6" x14ac:dyDescent="0.25">
      <c r="A337" s="1">
        <v>44166</v>
      </c>
      <c r="B337" t="s">
        <v>8</v>
      </c>
      <c r="C337" t="s">
        <v>52</v>
      </c>
      <c r="D337">
        <v>1.81052364172796</v>
      </c>
      <c r="E337">
        <v>1.4823863362896299</v>
      </c>
      <c r="F337">
        <v>2.21129659455752</v>
      </c>
    </row>
    <row r="338" spans="1:6" ht="15" customHeight="1" x14ac:dyDescent="0.25">
      <c r="A338" s="1">
        <v>41640</v>
      </c>
      <c r="B338" t="s">
        <v>3</v>
      </c>
      <c r="C338" t="s">
        <v>4</v>
      </c>
      <c r="D338">
        <v>1.9594747349999599</v>
      </c>
      <c r="E338">
        <v>1.9594747349999599</v>
      </c>
      <c r="F338">
        <v>1.9594747349999599</v>
      </c>
    </row>
    <row r="339" spans="1:6" ht="15" customHeight="1" x14ac:dyDescent="0.25">
      <c r="A339" s="1">
        <v>41671</v>
      </c>
      <c r="B339" t="s">
        <v>3</v>
      </c>
      <c r="C339" t="s">
        <v>4</v>
      </c>
      <c r="D339">
        <v>1.94170365122537</v>
      </c>
      <c r="E339">
        <v>1.9409135821060399</v>
      </c>
      <c r="F339">
        <v>1.9424940419505701</v>
      </c>
    </row>
    <row r="340" spans="1:6" ht="15" customHeight="1" x14ac:dyDescent="0.25">
      <c r="A340" s="1">
        <v>41699</v>
      </c>
      <c r="B340" t="s">
        <v>3</v>
      </c>
      <c r="C340" t="s">
        <v>4</v>
      </c>
      <c r="D340">
        <v>2.0251038211311201</v>
      </c>
      <c r="E340">
        <v>2.0242798148399701</v>
      </c>
      <c r="F340">
        <v>2.02592816284348</v>
      </c>
    </row>
    <row r="341" spans="1:6" ht="15" customHeight="1" x14ac:dyDescent="0.25">
      <c r="A341" s="1">
        <v>41730</v>
      </c>
      <c r="B341" t="s">
        <v>3</v>
      </c>
      <c r="C341" t="s">
        <v>4</v>
      </c>
      <c r="D341">
        <v>2.0597221995665298</v>
      </c>
      <c r="E341">
        <v>2.0588841072779598</v>
      </c>
      <c r="F341">
        <v>2.06056063301014</v>
      </c>
    </row>
    <row r="342" spans="1:6" ht="15" customHeight="1" x14ac:dyDescent="0.25">
      <c r="A342" s="1">
        <v>41760</v>
      </c>
      <c r="B342" t="s">
        <v>3</v>
      </c>
      <c r="C342" t="s">
        <v>4</v>
      </c>
      <c r="D342">
        <v>2.0573763793437201</v>
      </c>
      <c r="E342">
        <v>2.0565392416569499</v>
      </c>
      <c r="F342">
        <v>2.0582138577969</v>
      </c>
    </row>
    <row r="343" spans="1:6" ht="15" customHeight="1" x14ac:dyDescent="0.25">
      <c r="A343" s="1">
        <v>41791</v>
      </c>
      <c r="B343" t="s">
        <v>3</v>
      </c>
      <c r="C343" t="s">
        <v>4</v>
      </c>
      <c r="D343">
        <v>2.15865123051459</v>
      </c>
      <c r="E343">
        <v>2.1577728846897601</v>
      </c>
      <c r="F343">
        <v>2.15952993388002</v>
      </c>
    </row>
    <row r="344" spans="1:6" ht="15" customHeight="1" x14ac:dyDescent="0.25">
      <c r="A344" s="1">
        <v>41821</v>
      </c>
      <c r="B344" t="s">
        <v>3</v>
      </c>
      <c r="C344" t="s">
        <v>4</v>
      </c>
      <c r="D344">
        <v>2.21490280405729</v>
      </c>
      <c r="E344">
        <v>2.2140015694534498</v>
      </c>
      <c r="F344">
        <v>2.2158044055189601</v>
      </c>
    </row>
    <row r="345" spans="1:6" ht="15" customHeight="1" x14ac:dyDescent="0.25">
      <c r="A345" s="1">
        <v>41852</v>
      </c>
      <c r="B345" t="s">
        <v>3</v>
      </c>
      <c r="C345" t="s">
        <v>4</v>
      </c>
      <c r="D345">
        <v>2.1072149874876098</v>
      </c>
      <c r="E345">
        <v>2.1063575706820599</v>
      </c>
      <c r="F345">
        <v>2.1080727533144299</v>
      </c>
    </row>
    <row r="346" spans="1:6" ht="15" customHeight="1" x14ac:dyDescent="0.25">
      <c r="A346" s="1">
        <v>41883</v>
      </c>
      <c r="B346" t="s">
        <v>3</v>
      </c>
      <c r="C346" t="s">
        <v>4</v>
      </c>
      <c r="D346">
        <v>2.1103709025860198</v>
      </c>
      <c r="E346">
        <v>2.1095122017371399</v>
      </c>
      <c r="F346">
        <v>2.1112299529788201</v>
      </c>
    </row>
    <row r="347" spans="1:6" ht="15" customHeight="1" x14ac:dyDescent="0.25">
      <c r="A347" s="1">
        <v>41913</v>
      </c>
      <c r="B347" t="s">
        <v>3</v>
      </c>
      <c r="C347" t="s">
        <v>4</v>
      </c>
      <c r="D347">
        <v>2.04138246285881</v>
      </c>
      <c r="E347">
        <v>2.0405518329805998</v>
      </c>
      <c r="F347">
        <v>2.0422134308543698</v>
      </c>
    </row>
    <row r="348" spans="1:6" ht="15" customHeight="1" x14ac:dyDescent="0.25">
      <c r="A348" s="1">
        <v>41944</v>
      </c>
      <c r="B348" t="s">
        <v>3</v>
      </c>
      <c r="C348" t="s">
        <v>4</v>
      </c>
      <c r="D348">
        <v>1.9911691094971899</v>
      </c>
      <c r="E348">
        <v>1.99035891104355</v>
      </c>
      <c r="F348">
        <v>1.9919796377514201</v>
      </c>
    </row>
    <row r="349" spans="1:6" ht="15" customHeight="1" x14ac:dyDescent="0.25">
      <c r="A349" s="1">
        <v>41974</v>
      </c>
      <c r="B349" t="s">
        <v>3</v>
      </c>
      <c r="C349" t="s">
        <v>4</v>
      </c>
      <c r="D349">
        <v>1.9718788234493201</v>
      </c>
      <c r="E349">
        <v>1.9710764744159599</v>
      </c>
      <c r="F349">
        <v>1.97268149908796</v>
      </c>
    </row>
    <row r="350" spans="1:6" ht="15" customHeight="1" x14ac:dyDescent="0.25">
      <c r="A350" s="1">
        <v>42005</v>
      </c>
      <c r="B350" t="s">
        <v>3</v>
      </c>
      <c r="C350" t="s">
        <v>4</v>
      </c>
      <c r="D350">
        <v>1.92963127640957</v>
      </c>
      <c r="E350">
        <v>1.92884611606574</v>
      </c>
      <c r="F350">
        <v>1.9304167563625101</v>
      </c>
    </row>
    <row r="351" spans="1:6" ht="15" customHeight="1" x14ac:dyDescent="0.25">
      <c r="A351" s="1">
        <v>42036</v>
      </c>
      <c r="B351" t="s">
        <v>3</v>
      </c>
      <c r="C351" t="s">
        <v>4</v>
      </c>
      <c r="D351">
        <v>1.3140774599057099</v>
      </c>
      <c r="E351">
        <v>1.3135427671980699</v>
      </c>
      <c r="F351">
        <v>1.3146123702661801</v>
      </c>
    </row>
    <row r="352" spans="1:6" ht="15" customHeight="1" x14ac:dyDescent="0.25">
      <c r="A352" s="1">
        <v>42064</v>
      </c>
      <c r="B352" t="s">
        <v>3</v>
      </c>
      <c r="C352" t="s">
        <v>4</v>
      </c>
      <c r="D352">
        <v>1.29896493775266</v>
      </c>
      <c r="E352">
        <v>1.2984363944045401</v>
      </c>
      <c r="F352">
        <v>1.29949369625038</v>
      </c>
    </row>
    <row r="353" spans="1:6" ht="15" customHeight="1" x14ac:dyDescent="0.25">
      <c r="A353" s="1">
        <v>42095</v>
      </c>
      <c r="B353" t="s">
        <v>3</v>
      </c>
      <c r="C353" t="s">
        <v>4</v>
      </c>
      <c r="D353">
        <v>1.310715383447</v>
      </c>
      <c r="E353">
        <v>1.31018205865798</v>
      </c>
      <c r="F353">
        <v>1.3112489253320601</v>
      </c>
    </row>
    <row r="354" spans="1:6" ht="15" customHeight="1" x14ac:dyDescent="0.25">
      <c r="A354" s="1">
        <v>42125</v>
      </c>
      <c r="B354" t="s">
        <v>3</v>
      </c>
      <c r="C354" t="s">
        <v>4</v>
      </c>
      <c r="D354">
        <v>1.3485246577030401</v>
      </c>
      <c r="E354">
        <v>1.3479759486026699</v>
      </c>
      <c r="F354">
        <v>1.3490735901617501</v>
      </c>
    </row>
    <row r="355" spans="1:6" ht="15" customHeight="1" x14ac:dyDescent="0.25">
      <c r="A355" s="1">
        <v>42156</v>
      </c>
      <c r="B355" t="s">
        <v>3</v>
      </c>
      <c r="C355" t="s">
        <v>4</v>
      </c>
      <c r="D355">
        <v>1.2439630508142101</v>
      </c>
      <c r="E355">
        <v>1.24345688774455</v>
      </c>
      <c r="F355">
        <v>1.24446941992323</v>
      </c>
    </row>
    <row r="356" spans="1:6" ht="15" customHeight="1" x14ac:dyDescent="0.25">
      <c r="A356" s="1">
        <v>42186</v>
      </c>
      <c r="B356" t="s">
        <v>3</v>
      </c>
      <c r="C356" t="s">
        <v>4</v>
      </c>
      <c r="D356">
        <v>1.15881916590332</v>
      </c>
      <c r="E356">
        <v>1.1583476474026699</v>
      </c>
      <c r="F356">
        <v>1.15929087634091</v>
      </c>
    </row>
    <row r="357" spans="1:6" ht="15" customHeight="1" x14ac:dyDescent="0.25">
      <c r="A357" s="1">
        <v>42217</v>
      </c>
      <c r="B357" t="s">
        <v>3</v>
      </c>
      <c r="C357" t="s">
        <v>4</v>
      </c>
      <c r="D357">
        <v>1.13303935532839</v>
      </c>
      <c r="E357">
        <v>1.1325783262371201</v>
      </c>
      <c r="F357">
        <v>1.13350057208688</v>
      </c>
    </row>
    <row r="358" spans="1:6" ht="15" customHeight="1" x14ac:dyDescent="0.25">
      <c r="A358" s="1">
        <v>42248</v>
      </c>
      <c r="B358" t="s">
        <v>3</v>
      </c>
      <c r="C358" t="s">
        <v>4</v>
      </c>
      <c r="D358">
        <v>1.1531835701856701</v>
      </c>
      <c r="E358">
        <v>1.1527143444516399</v>
      </c>
      <c r="F358">
        <v>1.15365298692347</v>
      </c>
    </row>
    <row r="359" spans="1:6" ht="15" customHeight="1" x14ac:dyDescent="0.25">
      <c r="A359" s="1">
        <v>42278</v>
      </c>
      <c r="B359" t="s">
        <v>3</v>
      </c>
      <c r="C359" t="s">
        <v>4</v>
      </c>
      <c r="D359">
        <v>1.13934821843487</v>
      </c>
      <c r="E359">
        <v>1.1388846224054101</v>
      </c>
      <c r="F359">
        <v>1.1398120031764001</v>
      </c>
    </row>
    <row r="360" spans="1:6" ht="15" customHeight="1" x14ac:dyDescent="0.25">
      <c r="A360" s="1">
        <v>42309</v>
      </c>
      <c r="B360" t="s">
        <v>3</v>
      </c>
      <c r="C360" t="s">
        <v>4</v>
      </c>
      <c r="D360">
        <v>1.10856696968969</v>
      </c>
      <c r="E360">
        <v>1.1081158983100601</v>
      </c>
      <c r="F360">
        <v>1.1090182246831499</v>
      </c>
    </row>
    <row r="361" spans="1:6" ht="15" customHeight="1" x14ac:dyDescent="0.25">
      <c r="A361" s="1">
        <v>42339</v>
      </c>
      <c r="B361" t="s">
        <v>3</v>
      </c>
      <c r="C361" t="s">
        <v>4</v>
      </c>
      <c r="D361">
        <v>1.0652299688523199</v>
      </c>
      <c r="E361">
        <v>1.0647965310882901</v>
      </c>
      <c r="F361">
        <v>1.0656635830522101</v>
      </c>
    </row>
    <row r="362" spans="1:6" ht="15" customHeight="1" x14ac:dyDescent="0.25">
      <c r="A362" s="1">
        <v>42370</v>
      </c>
      <c r="B362" t="s">
        <v>3</v>
      </c>
      <c r="C362" t="s">
        <v>4</v>
      </c>
      <c r="D362">
        <v>1.0014668959003299</v>
      </c>
      <c r="E362">
        <v>1.0010594033540099</v>
      </c>
      <c r="F362">
        <v>1.0018745543210801</v>
      </c>
    </row>
    <row r="363" spans="1:6" ht="15" customHeight="1" x14ac:dyDescent="0.25">
      <c r="A363" s="1">
        <v>42401</v>
      </c>
      <c r="B363" t="s">
        <v>3</v>
      </c>
      <c r="C363" t="s">
        <v>4</v>
      </c>
      <c r="D363">
        <v>1.0983064510571501</v>
      </c>
      <c r="E363">
        <v>1.09785955483924</v>
      </c>
      <c r="F363">
        <v>1.0987535291892501</v>
      </c>
    </row>
    <row r="364" spans="1:6" ht="15" customHeight="1" x14ac:dyDescent="0.25">
      <c r="A364" s="1">
        <v>42430</v>
      </c>
      <c r="B364" t="s">
        <v>3</v>
      </c>
      <c r="C364" t="s">
        <v>4</v>
      </c>
      <c r="D364">
        <v>1.0358345215312801</v>
      </c>
      <c r="E364">
        <v>1.0354130446318199</v>
      </c>
      <c r="F364">
        <v>1.0362561699978099</v>
      </c>
    </row>
    <row r="365" spans="1:6" ht="15" customHeight="1" x14ac:dyDescent="0.25">
      <c r="A365" s="1">
        <v>42461</v>
      </c>
      <c r="B365" t="s">
        <v>3</v>
      </c>
      <c r="C365" t="s">
        <v>4</v>
      </c>
      <c r="D365">
        <v>0.96663067841640904</v>
      </c>
      <c r="E365">
        <v>0.96623736047715603</v>
      </c>
      <c r="F365">
        <v>0.967024156460215</v>
      </c>
    </row>
    <row r="366" spans="1:6" ht="15" customHeight="1" x14ac:dyDescent="0.25">
      <c r="A366" s="1">
        <v>42491</v>
      </c>
      <c r="B366" t="s">
        <v>3</v>
      </c>
      <c r="C366" t="s">
        <v>4</v>
      </c>
      <c r="D366">
        <v>0.97241683223453002</v>
      </c>
      <c r="E366">
        <v>0.97202115992480198</v>
      </c>
      <c r="F366">
        <v>0.97281266560718904</v>
      </c>
    </row>
    <row r="367" spans="1:6" ht="15" customHeight="1" x14ac:dyDescent="0.25">
      <c r="A367" s="1">
        <v>42522</v>
      </c>
      <c r="B367" t="s">
        <v>3</v>
      </c>
      <c r="C367" t="s">
        <v>4</v>
      </c>
      <c r="D367">
        <v>0.95913860453712396</v>
      </c>
      <c r="E367">
        <v>0.95874833490897304</v>
      </c>
      <c r="F367">
        <v>0.95952903302905401</v>
      </c>
    </row>
    <row r="368" spans="1:6" ht="15" customHeight="1" x14ac:dyDescent="0.25">
      <c r="A368" s="1">
        <v>42552</v>
      </c>
      <c r="B368" t="s">
        <v>3</v>
      </c>
      <c r="C368" t="s">
        <v>4</v>
      </c>
      <c r="D368">
        <v>1.01057864022041</v>
      </c>
      <c r="E368">
        <v>1.0101674398035001</v>
      </c>
      <c r="F368">
        <v>1.01099000802123</v>
      </c>
    </row>
    <row r="369" spans="1:6" ht="15" customHeight="1" x14ac:dyDescent="0.25">
      <c r="A369" s="1">
        <v>42583</v>
      </c>
      <c r="B369" t="s">
        <v>3</v>
      </c>
      <c r="C369" t="s">
        <v>4</v>
      </c>
      <c r="D369">
        <v>0.966394941777863</v>
      </c>
      <c r="E369">
        <v>0.966001719761021</v>
      </c>
      <c r="F369">
        <v>0.96678832386021196</v>
      </c>
    </row>
    <row r="370" spans="1:6" ht="15" customHeight="1" x14ac:dyDescent="0.25">
      <c r="A370" s="1">
        <v>42614</v>
      </c>
      <c r="B370" t="s">
        <v>3</v>
      </c>
      <c r="C370" t="s">
        <v>4</v>
      </c>
      <c r="D370">
        <v>0.95901388682331501</v>
      </c>
      <c r="E370">
        <v>0.95862366795926601</v>
      </c>
      <c r="F370">
        <v>0.95940426453047001</v>
      </c>
    </row>
    <row r="371" spans="1:6" ht="15" customHeight="1" x14ac:dyDescent="0.25">
      <c r="A371" s="1">
        <v>42644</v>
      </c>
      <c r="B371" t="s">
        <v>3</v>
      </c>
      <c r="C371" t="s">
        <v>4</v>
      </c>
      <c r="D371">
        <v>0.96486959195362298</v>
      </c>
      <c r="E371">
        <v>0.96447699050150004</v>
      </c>
      <c r="F371">
        <v>0.96526235321868104</v>
      </c>
    </row>
    <row r="372" spans="1:6" ht="15" customHeight="1" x14ac:dyDescent="0.25">
      <c r="A372" s="1">
        <v>42675</v>
      </c>
      <c r="B372" t="s">
        <v>3</v>
      </c>
      <c r="C372" t="s">
        <v>4</v>
      </c>
      <c r="D372">
        <v>0.91580779403888801</v>
      </c>
      <c r="E372">
        <v>0.91543515562434097</v>
      </c>
      <c r="F372">
        <v>0.91618058414018899</v>
      </c>
    </row>
    <row r="373" spans="1:6" ht="15" customHeight="1" x14ac:dyDescent="0.25">
      <c r="A373" s="1">
        <v>42705</v>
      </c>
      <c r="B373" t="s">
        <v>3</v>
      </c>
      <c r="C373" t="s">
        <v>4</v>
      </c>
      <c r="D373">
        <v>0.90377002761205205</v>
      </c>
      <c r="E373">
        <v>0.90340228739755002</v>
      </c>
      <c r="F373">
        <v>0.90413791751940598</v>
      </c>
    </row>
    <row r="374" spans="1:6" ht="15" customHeight="1" x14ac:dyDescent="0.25">
      <c r="A374" s="1">
        <v>42736</v>
      </c>
      <c r="B374" t="s">
        <v>3</v>
      </c>
      <c r="C374" t="s">
        <v>4</v>
      </c>
      <c r="D374">
        <v>0.93155113943964696</v>
      </c>
      <c r="E374">
        <v>0.93117209530765399</v>
      </c>
      <c r="F374">
        <v>0.93193033786583901</v>
      </c>
    </row>
    <row r="375" spans="1:6" ht="15" customHeight="1" x14ac:dyDescent="0.25">
      <c r="A375" s="1">
        <v>42767</v>
      </c>
      <c r="B375" t="s">
        <v>3</v>
      </c>
      <c r="C375" t="s">
        <v>4</v>
      </c>
      <c r="D375">
        <v>0.94999943228288797</v>
      </c>
      <c r="E375">
        <v>0.94961288164588098</v>
      </c>
      <c r="F375">
        <v>0.95038614026969304</v>
      </c>
    </row>
    <row r="376" spans="1:6" ht="15" customHeight="1" x14ac:dyDescent="0.25">
      <c r="A376" s="1">
        <v>42795</v>
      </c>
      <c r="B376" t="s">
        <v>3</v>
      </c>
      <c r="C376" t="s">
        <v>4</v>
      </c>
      <c r="D376">
        <v>0.93800001068219097</v>
      </c>
      <c r="E376">
        <v>0.93761834251562504</v>
      </c>
      <c r="F376">
        <v>0.93838183421110699</v>
      </c>
    </row>
    <row r="377" spans="1:6" ht="15" customHeight="1" x14ac:dyDescent="0.25">
      <c r="A377" s="1">
        <v>42826</v>
      </c>
      <c r="B377" t="s">
        <v>3</v>
      </c>
      <c r="C377" t="s">
        <v>4</v>
      </c>
      <c r="D377">
        <v>1.0170067163154499</v>
      </c>
      <c r="E377">
        <v>1.01659290057152</v>
      </c>
      <c r="F377">
        <v>1.01742070050781</v>
      </c>
    </row>
    <row r="378" spans="1:6" ht="15" customHeight="1" x14ac:dyDescent="0.25">
      <c r="A378" s="1">
        <v>42856</v>
      </c>
      <c r="B378" t="s">
        <v>3</v>
      </c>
      <c r="C378" t="s">
        <v>4</v>
      </c>
      <c r="D378">
        <v>0.96611889507414705</v>
      </c>
      <c r="E378">
        <v>0.96572578540503395</v>
      </c>
      <c r="F378">
        <v>0.96651216476302504</v>
      </c>
    </row>
    <row r="379" spans="1:6" ht="15" customHeight="1" x14ac:dyDescent="0.25">
      <c r="A379" s="1">
        <v>42887</v>
      </c>
      <c r="B379" t="s">
        <v>3</v>
      </c>
      <c r="C379" t="s">
        <v>4</v>
      </c>
      <c r="D379">
        <v>0.96424341215679499</v>
      </c>
      <c r="E379">
        <v>0.96385106553609901</v>
      </c>
      <c r="F379">
        <v>0.96463591848667896</v>
      </c>
    </row>
    <row r="380" spans="1:6" ht="15" customHeight="1" x14ac:dyDescent="0.25">
      <c r="A380" s="1">
        <v>42917</v>
      </c>
      <c r="B380" t="s">
        <v>3</v>
      </c>
      <c r="C380" t="s">
        <v>4</v>
      </c>
      <c r="D380">
        <v>0.97919185599448599</v>
      </c>
      <c r="E380">
        <v>0.97879342693209104</v>
      </c>
      <c r="F380">
        <v>0.97959044724198896</v>
      </c>
    </row>
    <row r="381" spans="1:6" ht="15" customHeight="1" x14ac:dyDescent="0.25">
      <c r="A381" s="1">
        <v>42948</v>
      </c>
      <c r="B381" t="s">
        <v>3</v>
      </c>
      <c r="C381" t="s">
        <v>4</v>
      </c>
      <c r="D381">
        <v>0.98497858296406604</v>
      </c>
      <c r="E381">
        <v>0.98457779936619405</v>
      </c>
      <c r="F381">
        <v>0.98537952970546305</v>
      </c>
    </row>
    <row r="382" spans="1:6" ht="15" customHeight="1" x14ac:dyDescent="0.25">
      <c r="A382" s="1">
        <v>42979</v>
      </c>
      <c r="B382" t="s">
        <v>3</v>
      </c>
      <c r="C382" t="s">
        <v>4</v>
      </c>
      <c r="D382">
        <v>0.95534670873966099</v>
      </c>
      <c r="E382">
        <v>0.95495798205610105</v>
      </c>
      <c r="F382">
        <v>0.95573559365891103</v>
      </c>
    </row>
    <row r="383" spans="1:6" ht="15" customHeight="1" x14ac:dyDescent="0.25">
      <c r="A383" s="1">
        <v>43009</v>
      </c>
      <c r="B383" t="s">
        <v>3</v>
      </c>
      <c r="C383" t="s">
        <v>4</v>
      </c>
      <c r="D383">
        <v>0.98373239368980103</v>
      </c>
      <c r="E383">
        <v>0.98333211707159995</v>
      </c>
      <c r="F383">
        <v>0.98413283324519196</v>
      </c>
    </row>
    <row r="384" spans="1:6" ht="15" customHeight="1" x14ac:dyDescent="0.25">
      <c r="A384" s="1">
        <v>43040</v>
      </c>
      <c r="B384" t="s">
        <v>3</v>
      </c>
      <c r="C384" t="s">
        <v>4</v>
      </c>
      <c r="D384">
        <v>0.98275457577251801</v>
      </c>
      <c r="E384">
        <v>0.98235469698744105</v>
      </c>
      <c r="F384">
        <v>0.98315461733285703</v>
      </c>
    </row>
    <row r="385" spans="1:6" ht="15" customHeight="1" x14ac:dyDescent="0.25">
      <c r="A385" s="1">
        <v>43070</v>
      </c>
      <c r="B385" t="s">
        <v>3</v>
      </c>
      <c r="C385" t="s">
        <v>4</v>
      </c>
      <c r="D385">
        <v>0.93801628723429098</v>
      </c>
      <c r="E385">
        <v>0.93763461234794498</v>
      </c>
      <c r="F385">
        <v>0.93839811748576296</v>
      </c>
    </row>
    <row r="386" spans="1:6" ht="15" customHeight="1" x14ac:dyDescent="0.25">
      <c r="A386" s="1">
        <v>43101</v>
      </c>
      <c r="B386" t="s">
        <v>3</v>
      </c>
      <c r="C386" t="s">
        <v>4</v>
      </c>
      <c r="D386">
        <v>0.932631279554753</v>
      </c>
      <c r="E386">
        <v>0.93225179556513105</v>
      </c>
      <c r="F386">
        <v>0.93301091801776803</v>
      </c>
    </row>
    <row r="387" spans="1:6" ht="15" customHeight="1" x14ac:dyDescent="0.25">
      <c r="A387" s="1">
        <v>43132</v>
      </c>
      <c r="B387" t="s">
        <v>3</v>
      </c>
      <c r="C387" t="s">
        <v>4</v>
      </c>
      <c r="D387">
        <v>0.96093338425340502</v>
      </c>
      <c r="E387">
        <v>0.96054238460493102</v>
      </c>
      <c r="F387">
        <v>0.96132454306271098</v>
      </c>
    </row>
    <row r="388" spans="1:6" ht="15" customHeight="1" x14ac:dyDescent="0.25">
      <c r="A388" s="1">
        <v>43160</v>
      </c>
      <c r="B388" t="s">
        <v>3</v>
      </c>
      <c r="C388" t="s">
        <v>4</v>
      </c>
      <c r="D388">
        <v>0.93828197374893096</v>
      </c>
      <c r="E388">
        <v>0.93790018942741604</v>
      </c>
      <c r="F388">
        <v>0.93866391348066003</v>
      </c>
    </row>
    <row r="389" spans="1:6" ht="15" customHeight="1" x14ac:dyDescent="0.25">
      <c r="A389" s="1">
        <v>43191</v>
      </c>
      <c r="B389" t="s">
        <v>3</v>
      </c>
      <c r="C389" t="s">
        <v>4</v>
      </c>
      <c r="D389">
        <v>0.95971659964487699</v>
      </c>
      <c r="E389">
        <v>0.82565502203762997</v>
      </c>
      <c r="F389">
        <v>1.11554575100973</v>
      </c>
    </row>
    <row r="390" spans="1:6" ht="15" customHeight="1" x14ac:dyDescent="0.25">
      <c r="A390" s="1">
        <v>43221</v>
      </c>
      <c r="B390" t="s">
        <v>3</v>
      </c>
      <c r="C390" t="s">
        <v>4</v>
      </c>
      <c r="D390">
        <v>0.950524225598676</v>
      </c>
      <c r="E390">
        <v>0.76868517944218595</v>
      </c>
      <c r="F390">
        <v>1.1753788515938399</v>
      </c>
    </row>
    <row r="391" spans="1:6" ht="15" customHeight="1" x14ac:dyDescent="0.25">
      <c r="A391" s="1">
        <v>43252</v>
      </c>
      <c r="B391" t="s">
        <v>3</v>
      </c>
      <c r="C391" t="s">
        <v>4</v>
      </c>
      <c r="D391">
        <v>0.95398339794155196</v>
      </c>
      <c r="E391">
        <v>0.73446428274387798</v>
      </c>
      <c r="F391">
        <v>1.23911311268689</v>
      </c>
    </row>
    <row r="392" spans="1:6" ht="15" customHeight="1" x14ac:dyDescent="0.25">
      <c r="A392" s="1">
        <v>43282</v>
      </c>
      <c r="B392" t="s">
        <v>3</v>
      </c>
      <c r="C392" t="s">
        <v>4</v>
      </c>
      <c r="D392">
        <v>0.96393487960429802</v>
      </c>
      <c r="E392">
        <v>0.71297346573769205</v>
      </c>
      <c r="F392">
        <v>1.3032328645728299</v>
      </c>
    </row>
    <row r="393" spans="1:6" ht="15" customHeight="1" x14ac:dyDescent="0.25">
      <c r="A393" s="1">
        <v>43313</v>
      </c>
      <c r="B393" t="s">
        <v>3</v>
      </c>
      <c r="C393" t="s">
        <v>4</v>
      </c>
      <c r="D393">
        <v>0.94093792808773502</v>
      </c>
      <c r="E393">
        <v>0.67124603292177698</v>
      </c>
      <c r="F393">
        <v>1.31898609614161</v>
      </c>
    </row>
    <row r="394" spans="1:6" ht="15" customHeight="1" x14ac:dyDescent="0.25">
      <c r="A394" s="1">
        <v>43344</v>
      </c>
      <c r="B394" t="s">
        <v>3</v>
      </c>
      <c r="C394" t="s">
        <v>4</v>
      </c>
      <c r="D394">
        <v>0.91830172456110304</v>
      </c>
      <c r="E394">
        <v>0.63477290778583295</v>
      </c>
      <c r="F394">
        <v>1.32847203620166</v>
      </c>
    </row>
    <row r="395" spans="1:6" ht="15" customHeight="1" x14ac:dyDescent="0.25">
      <c r="A395" s="1">
        <v>43374</v>
      </c>
      <c r="B395" t="s">
        <v>3</v>
      </c>
      <c r="C395" t="s">
        <v>4</v>
      </c>
      <c r="D395">
        <v>0.91055543487853297</v>
      </c>
      <c r="E395">
        <v>0.61175469266965499</v>
      </c>
      <c r="F395">
        <v>1.3553001062707799</v>
      </c>
    </row>
    <row r="396" spans="1:6" ht="15" customHeight="1" x14ac:dyDescent="0.25">
      <c r="A396" s="1">
        <v>43405</v>
      </c>
      <c r="B396" t="s">
        <v>3</v>
      </c>
      <c r="C396" t="s">
        <v>4</v>
      </c>
      <c r="D396">
        <v>0.85184413944450699</v>
      </c>
      <c r="E396">
        <v>0.55650481473272895</v>
      </c>
      <c r="F396">
        <v>1.3039212216959</v>
      </c>
    </row>
    <row r="397" spans="1:6" ht="15" customHeight="1" x14ac:dyDescent="0.25">
      <c r="A397" s="1">
        <v>43435</v>
      </c>
      <c r="B397" t="s">
        <v>3</v>
      </c>
      <c r="C397" t="s">
        <v>4</v>
      </c>
      <c r="D397">
        <v>0.82303034103086703</v>
      </c>
      <c r="E397">
        <v>0.52406341180806604</v>
      </c>
      <c r="F397">
        <v>1.29255148708124</v>
      </c>
    </row>
    <row r="398" spans="1:6" ht="15" customHeight="1" x14ac:dyDescent="0.25">
      <c r="A398" s="1">
        <v>43466</v>
      </c>
      <c r="B398" t="s">
        <v>3</v>
      </c>
      <c r="C398" t="s">
        <v>4</v>
      </c>
      <c r="D398">
        <v>0.805108523482155</v>
      </c>
      <c r="E398">
        <v>0.50010580051034703</v>
      </c>
      <c r="F398">
        <v>1.29612520775032</v>
      </c>
    </row>
    <row r="399" spans="1:6" ht="15" customHeight="1" x14ac:dyDescent="0.25">
      <c r="A399" s="1">
        <v>43497</v>
      </c>
      <c r="B399" t="s">
        <v>3</v>
      </c>
      <c r="C399" t="s">
        <v>4</v>
      </c>
      <c r="D399">
        <v>0.74743815708629802</v>
      </c>
      <c r="E399">
        <v>0.45297105749233002</v>
      </c>
      <c r="F399">
        <v>1.2333322172090899</v>
      </c>
    </row>
    <row r="400" spans="1:6" ht="15" customHeight="1" x14ac:dyDescent="0.25">
      <c r="A400" s="1">
        <v>43525</v>
      </c>
      <c r="B400" t="s">
        <v>3</v>
      </c>
      <c r="C400" t="s">
        <v>4</v>
      </c>
      <c r="D400">
        <v>0.73591601655907102</v>
      </c>
      <c r="E400">
        <v>0.43605112861116702</v>
      </c>
      <c r="F400">
        <v>1.2419928487585601</v>
      </c>
    </row>
    <row r="401" spans="1:6" ht="15" customHeight="1" x14ac:dyDescent="0.25">
      <c r="A401" s="1">
        <v>43556</v>
      </c>
      <c r="B401" t="s">
        <v>3</v>
      </c>
      <c r="C401" t="s">
        <v>4</v>
      </c>
      <c r="D401">
        <v>0.74385050801892405</v>
      </c>
      <c r="E401">
        <v>0.428210420221037</v>
      </c>
      <c r="F401">
        <v>1.29215346509877</v>
      </c>
    </row>
    <row r="402" spans="1:6" ht="15" customHeight="1" x14ac:dyDescent="0.25">
      <c r="A402" s="1">
        <v>43586</v>
      </c>
      <c r="B402" t="s">
        <v>3</v>
      </c>
      <c r="C402" t="s">
        <v>4</v>
      </c>
      <c r="D402">
        <v>0.73312414547836302</v>
      </c>
      <c r="E402">
        <v>0.40990947882525902</v>
      </c>
      <c r="F402">
        <v>1.3111943988797099</v>
      </c>
    </row>
    <row r="403" spans="1:6" ht="15" customHeight="1" x14ac:dyDescent="0.25">
      <c r="A403" s="1">
        <v>43617</v>
      </c>
      <c r="B403" t="s">
        <v>3</v>
      </c>
      <c r="C403" t="s">
        <v>4</v>
      </c>
      <c r="D403">
        <v>0.73207551506526103</v>
      </c>
      <c r="E403">
        <v>0.39917381362208398</v>
      </c>
      <c r="F403">
        <v>1.3426095136227101</v>
      </c>
    </row>
    <row r="404" spans="1:6" ht="15" customHeight="1" x14ac:dyDescent="0.25">
      <c r="A404" s="1">
        <v>43647</v>
      </c>
      <c r="B404" t="s">
        <v>3</v>
      </c>
      <c r="C404" t="s">
        <v>4</v>
      </c>
      <c r="D404">
        <v>0.73559452049570495</v>
      </c>
      <c r="E404">
        <v>0.390729213693148</v>
      </c>
      <c r="F404">
        <v>1.38484474572267</v>
      </c>
    </row>
    <row r="405" spans="1:6" ht="15" customHeight="1" x14ac:dyDescent="0.25">
      <c r="A405" s="1">
        <v>43678</v>
      </c>
      <c r="B405" t="s">
        <v>3</v>
      </c>
      <c r="C405" t="s">
        <v>4</v>
      </c>
      <c r="D405">
        <v>0.71391528585682595</v>
      </c>
      <c r="E405">
        <v>0.37001519210797101</v>
      </c>
      <c r="F405">
        <v>1.37744353813265</v>
      </c>
    </row>
    <row r="406" spans="1:6" ht="15" customHeight="1" x14ac:dyDescent="0.25">
      <c r="A406" s="1">
        <v>43709</v>
      </c>
      <c r="B406" t="s">
        <v>3</v>
      </c>
      <c r="C406" t="s">
        <v>4</v>
      </c>
      <c r="D406">
        <v>0.69273323169910594</v>
      </c>
      <c r="E406">
        <v>0.34979963710223599</v>
      </c>
      <c r="F406">
        <v>1.37186914850924</v>
      </c>
    </row>
    <row r="407" spans="1:6" ht="15" customHeight="1" x14ac:dyDescent="0.25">
      <c r="A407" s="1">
        <v>43739</v>
      </c>
      <c r="B407" t="s">
        <v>3</v>
      </c>
      <c r="C407" t="s">
        <v>4</v>
      </c>
      <c r="D407">
        <v>0.68244199593189903</v>
      </c>
      <c r="E407">
        <v>0.33615519302501501</v>
      </c>
      <c r="F407">
        <v>1.38545257510526</v>
      </c>
    </row>
    <row r="408" spans="1:6" ht="15" customHeight="1" x14ac:dyDescent="0.25">
      <c r="A408" s="1">
        <v>43770</v>
      </c>
      <c r="B408" t="s">
        <v>3</v>
      </c>
      <c r="C408" t="s">
        <v>4</v>
      </c>
      <c r="D408">
        <v>0.63416779380702104</v>
      </c>
      <c r="E408">
        <v>0.30352781914213001</v>
      </c>
      <c r="F408">
        <v>1.32498165024454</v>
      </c>
    </row>
    <row r="409" spans="1:6" ht="15" customHeight="1" x14ac:dyDescent="0.25">
      <c r="A409" s="1">
        <v>43800</v>
      </c>
      <c r="B409" t="s">
        <v>3</v>
      </c>
      <c r="C409" t="s">
        <v>4</v>
      </c>
      <c r="D409">
        <v>0.60874950344277701</v>
      </c>
      <c r="E409">
        <v>0.28403970726600403</v>
      </c>
      <c r="F409">
        <v>1.3046625118324799</v>
      </c>
    </row>
    <row r="410" spans="1:6" ht="15" customHeight="1" x14ac:dyDescent="0.25">
      <c r="A410" s="1">
        <v>43831</v>
      </c>
      <c r="B410" t="s">
        <v>3</v>
      </c>
      <c r="C410" t="s">
        <v>4</v>
      </c>
      <c r="D410">
        <v>0.59106901192135197</v>
      </c>
      <c r="E410">
        <v>0.26935046903198401</v>
      </c>
      <c r="F410">
        <v>1.2970557582812301</v>
      </c>
    </row>
    <row r="411" spans="1:6" ht="15" customHeight="1" x14ac:dyDescent="0.25">
      <c r="A411" s="1">
        <v>43862</v>
      </c>
      <c r="B411" t="s">
        <v>3</v>
      </c>
      <c r="C411" t="s">
        <v>4</v>
      </c>
      <c r="D411">
        <v>0.54465315566926198</v>
      </c>
      <c r="E411">
        <v>0.24140462437045901</v>
      </c>
      <c r="F411">
        <v>1.22883752021772</v>
      </c>
    </row>
    <row r="412" spans="1:6" ht="15" customHeight="1" x14ac:dyDescent="0.25">
      <c r="A412" s="1">
        <v>43891</v>
      </c>
      <c r="B412" t="s">
        <v>3</v>
      </c>
      <c r="C412" t="s">
        <v>4</v>
      </c>
      <c r="D412">
        <v>0.53265677965468805</v>
      </c>
      <c r="E412">
        <v>0.230511343527839</v>
      </c>
      <c r="F412">
        <v>1.2308428755387399</v>
      </c>
    </row>
    <row r="413" spans="1:6" ht="15" customHeight="1" x14ac:dyDescent="0.25">
      <c r="A413" s="1">
        <v>43922</v>
      </c>
      <c r="B413" t="s">
        <v>3</v>
      </c>
      <c r="C413" t="s">
        <v>4</v>
      </c>
      <c r="D413">
        <v>0.53346784443184003</v>
      </c>
      <c r="E413">
        <v>0.22475522297836201</v>
      </c>
      <c r="F413">
        <v>1.2662128037405</v>
      </c>
    </row>
    <row r="414" spans="1:6" ht="15" customHeight="1" x14ac:dyDescent="0.25">
      <c r="A414" s="1">
        <v>43952</v>
      </c>
      <c r="B414" t="s">
        <v>3</v>
      </c>
      <c r="C414" t="s">
        <v>4</v>
      </c>
      <c r="D414">
        <v>0.52111360070208901</v>
      </c>
      <c r="E414">
        <v>0.213038142692587</v>
      </c>
      <c r="F414">
        <v>1.2746984244439099</v>
      </c>
    </row>
    <row r="415" spans="1:6" ht="15" customHeight="1" x14ac:dyDescent="0.25">
      <c r="A415" s="1">
        <v>43983</v>
      </c>
      <c r="B415" t="s">
        <v>3</v>
      </c>
      <c r="C415" t="s">
        <v>4</v>
      </c>
      <c r="D415">
        <v>0.51560146823849395</v>
      </c>
      <c r="E415">
        <v>0.20596484122636</v>
      </c>
      <c r="F415">
        <v>1.2907293908358</v>
      </c>
    </row>
    <row r="416" spans="1:6" ht="15" customHeight="1" x14ac:dyDescent="0.25">
      <c r="A416" s="1">
        <v>44013</v>
      </c>
      <c r="B416" t="s">
        <v>3</v>
      </c>
      <c r="C416" t="s">
        <v>4</v>
      </c>
      <c r="D416">
        <v>0.51456683015961202</v>
      </c>
      <c r="E416">
        <v>0.20014837842695599</v>
      </c>
      <c r="F416">
        <v>1.32291365426746</v>
      </c>
    </row>
    <row r="417" spans="1:6" ht="15" customHeight="1" x14ac:dyDescent="0.25">
      <c r="A417" s="1">
        <v>44044</v>
      </c>
      <c r="B417" t="s">
        <v>3</v>
      </c>
      <c r="C417" t="s">
        <v>4</v>
      </c>
      <c r="D417">
        <v>0.49590275661537703</v>
      </c>
      <c r="E417">
        <v>0.188301186174687</v>
      </c>
      <c r="F417">
        <v>1.30599041362698</v>
      </c>
    </row>
    <row r="418" spans="1:6" ht="15" customHeight="1" x14ac:dyDescent="0.25">
      <c r="A418" s="1">
        <v>44075</v>
      </c>
      <c r="B418" t="s">
        <v>3</v>
      </c>
      <c r="C418" t="s">
        <v>4</v>
      </c>
      <c r="D418">
        <v>0.47781788669999198</v>
      </c>
      <c r="E418">
        <v>0.17622534980527199</v>
      </c>
      <c r="F418">
        <v>1.2955567011370801</v>
      </c>
    </row>
    <row r="419" spans="1:6" ht="15" customHeight="1" x14ac:dyDescent="0.25">
      <c r="A419" s="1">
        <v>44105</v>
      </c>
      <c r="B419" t="s">
        <v>3</v>
      </c>
      <c r="C419" t="s">
        <v>4</v>
      </c>
      <c r="D419">
        <v>0.46712735386990401</v>
      </c>
      <c r="E419">
        <v>0.16744408864705901</v>
      </c>
      <c r="F419">
        <v>1.30316911451822</v>
      </c>
    </row>
    <row r="420" spans="1:6" ht="15" customHeight="1" x14ac:dyDescent="0.25">
      <c r="A420" s="1">
        <v>44136</v>
      </c>
      <c r="B420" t="s">
        <v>3</v>
      </c>
      <c r="C420" t="s">
        <v>4</v>
      </c>
      <c r="D420">
        <v>0.43066146843222902</v>
      </c>
      <c r="E420">
        <v>0.14893370245200499</v>
      </c>
      <c r="F420">
        <v>1.24531450799038</v>
      </c>
    </row>
    <row r="421" spans="1:6" ht="15" customHeight="1" x14ac:dyDescent="0.25">
      <c r="A421" s="1">
        <v>44166</v>
      </c>
      <c r="B421" t="s">
        <v>3</v>
      </c>
      <c r="C421" t="s">
        <v>4</v>
      </c>
      <c r="D421">
        <v>0.41024531294397498</v>
      </c>
      <c r="E421">
        <v>0.13745521626325599</v>
      </c>
      <c r="F421">
        <v>1.2244076388499301</v>
      </c>
    </row>
    <row r="422" spans="1:6" ht="15" customHeight="1" x14ac:dyDescent="0.25">
      <c r="A422" s="1">
        <v>41640</v>
      </c>
      <c r="B422" t="s">
        <v>3</v>
      </c>
      <c r="C422" t="s">
        <v>6</v>
      </c>
      <c r="D422">
        <v>1.9594747349999599</v>
      </c>
      <c r="E422">
        <v>1.9594747349999599</v>
      </c>
      <c r="F422">
        <v>1.9594747349999599</v>
      </c>
    </row>
    <row r="423" spans="1:6" ht="15" customHeight="1" x14ac:dyDescent="0.25">
      <c r="A423" s="1">
        <v>41671</v>
      </c>
      <c r="B423" t="s">
        <v>3</v>
      </c>
      <c r="C423" t="s">
        <v>6</v>
      </c>
      <c r="D423">
        <v>1.94170365122537</v>
      </c>
      <c r="E423">
        <v>1.9409135821060399</v>
      </c>
      <c r="F423">
        <v>1.9424940419505701</v>
      </c>
    </row>
    <row r="424" spans="1:6" ht="15" customHeight="1" x14ac:dyDescent="0.25">
      <c r="A424" s="1">
        <v>41699</v>
      </c>
      <c r="B424" t="s">
        <v>3</v>
      </c>
      <c r="C424" t="s">
        <v>6</v>
      </c>
      <c r="D424">
        <v>2.0251038211311201</v>
      </c>
      <c r="E424">
        <v>2.0242798148399701</v>
      </c>
      <c r="F424">
        <v>2.02592816284348</v>
      </c>
    </row>
    <row r="425" spans="1:6" ht="15" customHeight="1" x14ac:dyDescent="0.25">
      <c r="A425" s="1">
        <v>41730</v>
      </c>
      <c r="B425" t="s">
        <v>3</v>
      </c>
      <c r="C425" t="s">
        <v>6</v>
      </c>
      <c r="D425">
        <v>2.0597221995665298</v>
      </c>
      <c r="E425">
        <v>2.0588841072779598</v>
      </c>
      <c r="F425">
        <v>2.06056063301014</v>
      </c>
    </row>
    <row r="426" spans="1:6" ht="15" customHeight="1" x14ac:dyDescent="0.25">
      <c r="A426" s="1">
        <v>41760</v>
      </c>
      <c r="B426" t="s">
        <v>3</v>
      </c>
      <c r="C426" t="s">
        <v>6</v>
      </c>
      <c r="D426">
        <v>2.0573763793437201</v>
      </c>
      <c r="E426">
        <v>2.0565392416569499</v>
      </c>
      <c r="F426">
        <v>2.0582138577969</v>
      </c>
    </row>
    <row r="427" spans="1:6" ht="15" customHeight="1" x14ac:dyDescent="0.25">
      <c r="A427" s="1">
        <v>41791</v>
      </c>
      <c r="B427" t="s">
        <v>3</v>
      </c>
      <c r="C427" t="s">
        <v>6</v>
      </c>
      <c r="D427">
        <v>2.15865123051459</v>
      </c>
      <c r="E427">
        <v>2.1577728846897601</v>
      </c>
      <c r="F427">
        <v>2.15952993388002</v>
      </c>
    </row>
    <row r="428" spans="1:6" ht="15" customHeight="1" x14ac:dyDescent="0.25">
      <c r="A428" s="1">
        <v>41821</v>
      </c>
      <c r="B428" t="s">
        <v>3</v>
      </c>
      <c r="C428" t="s">
        <v>6</v>
      </c>
      <c r="D428">
        <v>2.21490280405729</v>
      </c>
      <c r="E428">
        <v>2.2140015694534498</v>
      </c>
      <c r="F428">
        <v>2.2158044055189601</v>
      </c>
    </row>
    <row r="429" spans="1:6" ht="15" customHeight="1" x14ac:dyDescent="0.25">
      <c r="A429" s="1">
        <v>41852</v>
      </c>
      <c r="B429" t="s">
        <v>3</v>
      </c>
      <c r="C429" t="s">
        <v>6</v>
      </c>
      <c r="D429">
        <v>2.1072149874876098</v>
      </c>
      <c r="E429">
        <v>2.1063575706820599</v>
      </c>
      <c r="F429">
        <v>2.1080727533144299</v>
      </c>
    </row>
    <row r="430" spans="1:6" ht="15" customHeight="1" x14ac:dyDescent="0.25">
      <c r="A430" s="1">
        <v>41883</v>
      </c>
      <c r="B430" t="s">
        <v>3</v>
      </c>
      <c r="C430" t="s">
        <v>6</v>
      </c>
      <c r="D430">
        <v>2.1103709025860198</v>
      </c>
      <c r="E430">
        <v>2.1095122017371399</v>
      </c>
      <c r="F430">
        <v>2.1112299529788201</v>
      </c>
    </row>
    <row r="431" spans="1:6" ht="15" customHeight="1" x14ac:dyDescent="0.25">
      <c r="A431" s="1">
        <v>41913</v>
      </c>
      <c r="B431" t="s">
        <v>3</v>
      </c>
      <c r="C431" t="s">
        <v>6</v>
      </c>
      <c r="D431">
        <v>2.04138246285881</v>
      </c>
      <c r="E431">
        <v>2.0405518329805998</v>
      </c>
      <c r="F431">
        <v>2.0422134308543698</v>
      </c>
    </row>
    <row r="432" spans="1:6" ht="15" customHeight="1" x14ac:dyDescent="0.25">
      <c r="A432" s="1">
        <v>41944</v>
      </c>
      <c r="B432" t="s">
        <v>3</v>
      </c>
      <c r="C432" t="s">
        <v>6</v>
      </c>
      <c r="D432">
        <v>1.9911691094971899</v>
      </c>
      <c r="E432">
        <v>1.99035891104355</v>
      </c>
      <c r="F432">
        <v>1.9919796377514201</v>
      </c>
    </row>
    <row r="433" spans="1:6" ht="15" customHeight="1" x14ac:dyDescent="0.25">
      <c r="A433" s="1">
        <v>41974</v>
      </c>
      <c r="B433" t="s">
        <v>3</v>
      </c>
      <c r="C433" t="s">
        <v>6</v>
      </c>
      <c r="D433">
        <v>1.9718788234493201</v>
      </c>
      <c r="E433">
        <v>1.9710764744159599</v>
      </c>
      <c r="F433">
        <v>1.97268149908796</v>
      </c>
    </row>
    <row r="434" spans="1:6" ht="15" customHeight="1" x14ac:dyDescent="0.25">
      <c r="A434" s="1">
        <v>42005</v>
      </c>
      <c r="B434" t="s">
        <v>3</v>
      </c>
      <c r="C434" t="s">
        <v>6</v>
      </c>
      <c r="D434">
        <v>1.92963127640957</v>
      </c>
      <c r="E434">
        <v>1.92884611606574</v>
      </c>
      <c r="F434">
        <v>1.9304167563625101</v>
      </c>
    </row>
    <row r="435" spans="1:6" ht="15" customHeight="1" x14ac:dyDescent="0.25">
      <c r="A435" s="1">
        <v>42036</v>
      </c>
      <c r="B435" t="s">
        <v>3</v>
      </c>
      <c r="C435" t="s">
        <v>6</v>
      </c>
      <c r="D435">
        <v>1.3140774599057099</v>
      </c>
      <c r="E435">
        <v>1.3135427671980699</v>
      </c>
      <c r="F435">
        <v>1.3146123702661801</v>
      </c>
    </row>
    <row r="436" spans="1:6" ht="15" customHeight="1" x14ac:dyDescent="0.25">
      <c r="A436" s="1">
        <v>42064</v>
      </c>
      <c r="B436" t="s">
        <v>3</v>
      </c>
      <c r="C436" t="s">
        <v>6</v>
      </c>
      <c r="D436">
        <v>1.29896493775266</v>
      </c>
      <c r="E436">
        <v>1.2984363944045401</v>
      </c>
      <c r="F436">
        <v>1.29949369625038</v>
      </c>
    </row>
    <row r="437" spans="1:6" ht="15" customHeight="1" x14ac:dyDescent="0.25">
      <c r="A437" s="1">
        <v>42095</v>
      </c>
      <c r="B437" t="s">
        <v>3</v>
      </c>
      <c r="C437" t="s">
        <v>6</v>
      </c>
      <c r="D437">
        <v>1.310715383447</v>
      </c>
      <c r="E437">
        <v>1.31018205865798</v>
      </c>
      <c r="F437">
        <v>1.3112489253320601</v>
      </c>
    </row>
    <row r="438" spans="1:6" ht="15" customHeight="1" x14ac:dyDescent="0.25">
      <c r="A438" s="1">
        <v>42125</v>
      </c>
      <c r="B438" t="s">
        <v>3</v>
      </c>
      <c r="C438" t="s">
        <v>6</v>
      </c>
      <c r="D438">
        <v>1.3485246577030401</v>
      </c>
      <c r="E438">
        <v>1.3479759486026699</v>
      </c>
      <c r="F438">
        <v>1.3490735901617501</v>
      </c>
    </row>
    <row r="439" spans="1:6" ht="15" customHeight="1" x14ac:dyDescent="0.25">
      <c r="A439" s="1">
        <v>42156</v>
      </c>
      <c r="B439" t="s">
        <v>3</v>
      </c>
      <c r="C439" t="s">
        <v>6</v>
      </c>
      <c r="D439">
        <v>1.2439630508142101</v>
      </c>
      <c r="E439">
        <v>1.24345688774455</v>
      </c>
      <c r="F439">
        <v>1.24446941992323</v>
      </c>
    </row>
    <row r="440" spans="1:6" ht="15" customHeight="1" x14ac:dyDescent="0.25">
      <c r="A440" s="1">
        <v>42186</v>
      </c>
      <c r="B440" t="s">
        <v>3</v>
      </c>
      <c r="C440" t="s">
        <v>6</v>
      </c>
      <c r="D440">
        <v>1.15881916590332</v>
      </c>
      <c r="E440">
        <v>1.1583476474026699</v>
      </c>
      <c r="F440">
        <v>1.15929087634091</v>
      </c>
    </row>
    <row r="441" spans="1:6" ht="15" customHeight="1" x14ac:dyDescent="0.25">
      <c r="A441" s="1">
        <v>42217</v>
      </c>
      <c r="B441" t="s">
        <v>3</v>
      </c>
      <c r="C441" t="s">
        <v>6</v>
      </c>
      <c r="D441">
        <v>1.13303935532839</v>
      </c>
      <c r="E441">
        <v>1.1325783262371201</v>
      </c>
      <c r="F441">
        <v>1.13350057208688</v>
      </c>
    </row>
    <row r="442" spans="1:6" ht="15" customHeight="1" x14ac:dyDescent="0.25">
      <c r="A442" s="1">
        <v>42248</v>
      </c>
      <c r="B442" t="s">
        <v>3</v>
      </c>
      <c r="C442" t="s">
        <v>6</v>
      </c>
      <c r="D442">
        <v>1.1531835701856701</v>
      </c>
      <c r="E442">
        <v>1.1527143444516399</v>
      </c>
      <c r="F442">
        <v>1.15365298692347</v>
      </c>
    </row>
    <row r="443" spans="1:6" ht="15" customHeight="1" x14ac:dyDescent="0.25">
      <c r="A443" s="1">
        <v>42278</v>
      </c>
      <c r="B443" t="s">
        <v>3</v>
      </c>
      <c r="C443" t="s">
        <v>6</v>
      </c>
      <c r="D443">
        <v>1.13934821843487</v>
      </c>
      <c r="E443">
        <v>1.1388846224054101</v>
      </c>
      <c r="F443">
        <v>1.1398120031764001</v>
      </c>
    </row>
    <row r="444" spans="1:6" ht="15" customHeight="1" x14ac:dyDescent="0.25">
      <c r="A444" s="1">
        <v>42309</v>
      </c>
      <c r="B444" t="s">
        <v>3</v>
      </c>
      <c r="C444" t="s">
        <v>6</v>
      </c>
      <c r="D444">
        <v>1.10856696968969</v>
      </c>
      <c r="E444">
        <v>1.1081158983100601</v>
      </c>
      <c r="F444">
        <v>1.1090182246831499</v>
      </c>
    </row>
    <row r="445" spans="1:6" ht="15" customHeight="1" x14ac:dyDescent="0.25">
      <c r="A445" s="1">
        <v>42339</v>
      </c>
      <c r="B445" t="s">
        <v>3</v>
      </c>
      <c r="C445" t="s">
        <v>6</v>
      </c>
      <c r="D445">
        <v>1.0652299688523199</v>
      </c>
      <c r="E445">
        <v>1.0647965310882901</v>
      </c>
      <c r="F445">
        <v>1.0656635830522101</v>
      </c>
    </row>
    <row r="446" spans="1:6" ht="15" customHeight="1" x14ac:dyDescent="0.25">
      <c r="A446" s="1">
        <v>42370</v>
      </c>
      <c r="B446" t="s">
        <v>3</v>
      </c>
      <c r="C446" t="s">
        <v>6</v>
      </c>
      <c r="D446">
        <v>1.0014668959003299</v>
      </c>
      <c r="E446">
        <v>1.0010594033540099</v>
      </c>
      <c r="F446">
        <v>1.0018745543210801</v>
      </c>
    </row>
    <row r="447" spans="1:6" ht="15" customHeight="1" x14ac:dyDescent="0.25">
      <c r="A447" s="1">
        <v>42401</v>
      </c>
      <c r="B447" t="s">
        <v>3</v>
      </c>
      <c r="C447" t="s">
        <v>6</v>
      </c>
      <c r="D447">
        <v>1.0983064510571501</v>
      </c>
      <c r="E447">
        <v>1.09785955483924</v>
      </c>
      <c r="F447">
        <v>1.0987535291892501</v>
      </c>
    </row>
    <row r="448" spans="1:6" ht="15" customHeight="1" x14ac:dyDescent="0.25">
      <c r="A448" s="1">
        <v>42430</v>
      </c>
      <c r="B448" t="s">
        <v>3</v>
      </c>
      <c r="C448" t="s">
        <v>6</v>
      </c>
      <c r="D448">
        <v>1.0358345215312801</v>
      </c>
      <c r="E448">
        <v>1.0354130446318199</v>
      </c>
      <c r="F448">
        <v>1.0362561699978099</v>
      </c>
    </row>
    <row r="449" spans="1:6" ht="15" customHeight="1" x14ac:dyDescent="0.25">
      <c r="A449" s="1">
        <v>42461</v>
      </c>
      <c r="B449" t="s">
        <v>3</v>
      </c>
      <c r="C449" t="s">
        <v>6</v>
      </c>
      <c r="D449">
        <v>0.96663067841640904</v>
      </c>
      <c r="E449">
        <v>0.96623736047715603</v>
      </c>
      <c r="F449">
        <v>0.967024156460215</v>
      </c>
    </row>
    <row r="450" spans="1:6" ht="15" customHeight="1" x14ac:dyDescent="0.25">
      <c r="A450" s="1">
        <v>42491</v>
      </c>
      <c r="B450" t="s">
        <v>3</v>
      </c>
      <c r="C450" t="s">
        <v>6</v>
      </c>
      <c r="D450">
        <v>0.97241683223453002</v>
      </c>
      <c r="E450">
        <v>0.97202115992480198</v>
      </c>
      <c r="F450">
        <v>0.97281266560718904</v>
      </c>
    </row>
    <row r="451" spans="1:6" ht="15" customHeight="1" x14ac:dyDescent="0.25">
      <c r="A451" s="1">
        <v>42522</v>
      </c>
      <c r="B451" t="s">
        <v>3</v>
      </c>
      <c r="C451" t="s">
        <v>6</v>
      </c>
      <c r="D451">
        <v>0.95913860453712396</v>
      </c>
      <c r="E451">
        <v>0.95874833490897304</v>
      </c>
      <c r="F451">
        <v>0.95952903302905401</v>
      </c>
    </row>
    <row r="452" spans="1:6" ht="15" customHeight="1" x14ac:dyDescent="0.25">
      <c r="A452" s="1">
        <v>42552</v>
      </c>
      <c r="B452" t="s">
        <v>3</v>
      </c>
      <c r="C452" t="s">
        <v>6</v>
      </c>
      <c r="D452">
        <v>1.01057864022041</v>
      </c>
      <c r="E452">
        <v>1.0101674398035001</v>
      </c>
      <c r="F452">
        <v>1.01099000802123</v>
      </c>
    </row>
    <row r="453" spans="1:6" ht="15" customHeight="1" x14ac:dyDescent="0.25">
      <c r="A453" s="1">
        <v>42583</v>
      </c>
      <c r="B453" t="s">
        <v>3</v>
      </c>
      <c r="C453" t="s">
        <v>6</v>
      </c>
      <c r="D453">
        <v>0.966394941777863</v>
      </c>
      <c r="E453">
        <v>0.966001719761021</v>
      </c>
      <c r="F453">
        <v>0.96678832386021196</v>
      </c>
    </row>
    <row r="454" spans="1:6" ht="15" customHeight="1" x14ac:dyDescent="0.25">
      <c r="A454" s="1">
        <v>42614</v>
      </c>
      <c r="B454" t="s">
        <v>3</v>
      </c>
      <c r="C454" t="s">
        <v>6</v>
      </c>
      <c r="D454">
        <v>0.95901388682331501</v>
      </c>
      <c r="E454">
        <v>0.95862366795926601</v>
      </c>
      <c r="F454">
        <v>0.95940426453047001</v>
      </c>
    </row>
    <row r="455" spans="1:6" ht="15" customHeight="1" x14ac:dyDescent="0.25">
      <c r="A455" s="1">
        <v>42644</v>
      </c>
      <c r="B455" t="s">
        <v>3</v>
      </c>
      <c r="C455" t="s">
        <v>6</v>
      </c>
      <c r="D455">
        <v>0.96486959195362298</v>
      </c>
      <c r="E455">
        <v>0.96447699050150004</v>
      </c>
      <c r="F455">
        <v>0.96526235321868104</v>
      </c>
    </row>
    <row r="456" spans="1:6" ht="15" customHeight="1" x14ac:dyDescent="0.25">
      <c r="A456" s="1">
        <v>42675</v>
      </c>
      <c r="B456" t="s">
        <v>3</v>
      </c>
      <c r="C456" t="s">
        <v>6</v>
      </c>
      <c r="D456">
        <v>0.91580779403888801</v>
      </c>
      <c r="E456">
        <v>0.91543515562434097</v>
      </c>
      <c r="F456">
        <v>0.91618058414018899</v>
      </c>
    </row>
    <row r="457" spans="1:6" ht="15" customHeight="1" x14ac:dyDescent="0.25">
      <c r="A457" s="1">
        <v>42705</v>
      </c>
      <c r="B457" t="s">
        <v>3</v>
      </c>
      <c r="C457" t="s">
        <v>6</v>
      </c>
      <c r="D457">
        <v>0.90377002761205205</v>
      </c>
      <c r="E457">
        <v>0.90340228739755002</v>
      </c>
      <c r="F457">
        <v>0.90413791751940598</v>
      </c>
    </row>
    <row r="458" spans="1:6" ht="15" customHeight="1" x14ac:dyDescent="0.25">
      <c r="A458" s="1">
        <v>42736</v>
      </c>
      <c r="B458" t="s">
        <v>3</v>
      </c>
      <c r="C458" t="s">
        <v>6</v>
      </c>
      <c r="D458">
        <v>0.93155113943964696</v>
      </c>
      <c r="E458">
        <v>0.93117209530765399</v>
      </c>
      <c r="F458">
        <v>0.93193033786583901</v>
      </c>
    </row>
    <row r="459" spans="1:6" ht="15" customHeight="1" x14ac:dyDescent="0.25">
      <c r="A459" s="1">
        <v>42767</v>
      </c>
      <c r="B459" t="s">
        <v>3</v>
      </c>
      <c r="C459" t="s">
        <v>6</v>
      </c>
      <c r="D459">
        <v>0.94999943228288797</v>
      </c>
      <c r="E459">
        <v>0.94961288164588098</v>
      </c>
      <c r="F459">
        <v>0.95038614026969304</v>
      </c>
    </row>
    <row r="460" spans="1:6" ht="15" customHeight="1" x14ac:dyDescent="0.25">
      <c r="A460" s="1">
        <v>42795</v>
      </c>
      <c r="B460" t="s">
        <v>3</v>
      </c>
      <c r="C460" t="s">
        <v>6</v>
      </c>
      <c r="D460">
        <v>0.93800001068219097</v>
      </c>
      <c r="E460">
        <v>0.93761834251562504</v>
      </c>
      <c r="F460">
        <v>0.93838183421110699</v>
      </c>
    </row>
    <row r="461" spans="1:6" ht="15" customHeight="1" x14ac:dyDescent="0.25">
      <c r="A461" s="1">
        <v>42826</v>
      </c>
      <c r="B461" t="s">
        <v>3</v>
      </c>
      <c r="C461" t="s">
        <v>6</v>
      </c>
      <c r="D461">
        <v>1.0170067163154499</v>
      </c>
      <c r="E461">
        <v>1.01659290057152</v>
      </c>
      <c r="F461">
        <v>1.01742070050781</v>
      </c>
    </row>
    <row r="462" spans="1:6" ht="15" customHeight="1" x14ac:dyDescent="0.25">
      <c r="A462" s="1">
        <v>42856</v>
      </c>
      <c r="B462" t="s">
        <v>3</v>
      </c>
      <c r="C462" t="s">
        <v>6</v>
      </c>
      <c r="D462">
        <v>0.96611889507414705</v>
      </c>
      <c r="E462">
        <v>0.96572578540503395</v>
      </c>
      <c r="F462">
        <v>0.96651216476302504</v>
      </c>
    </row>
    <row r="463" spans="1:6" ht="15" customHeight="1" x14ac:dyDescent="0.25">
      <c r="A463" s="1">
        <v>42887</v>
      </c>
      <c r="B463" t="s">
        <v>3</v>
      </c>
      <c r="C463" t="s">
        <v>6</v>
      </c>
      <c r="D463">
        <v>0.96424341215679499</v>
      </c>
      <c r="E463">
        <v>0.96385106553609901</v>
      </c>
      <c r="F463">
        <v>0.96463591848667896</v>
      </c>
    </row>
    <row r="464" spans="1:6" ht="15" customHeight="1" x14ac:dyDescent="0.25">
      <c r="A464" s="1">
        <v>42917</v>
      </c>
      <c r="B464" t="s">
        <v>3</v>
      </c>
      <c r="C464" t="s">
        <v>6</v>
      </c>
      <c r="D464">
        <v>0.97919185599448599</v>
      </c>
      <c r="E464">
        <v>0.97879342693209104</v>
      </c>
      <c r="F464">
        <v>0.97959044724198896</v>
      </c>
    </row>
    <row r="465" spans="1:6" ht="15" customHeight="1" x14ac:dyDescent="0.25">
      <c r="A465" s="1">
        <v>42948</v>
      </c>
      <c r="B465" t="s">
        <v>3</v>
      </c>
      <c r="C465" t="s">
        <v>6</v>
      </c>
      <c r="D465">
        <v>0.98497858296406604</v>
      </c>
      <c r="E465">
        <v>0.98457779936619405</v>
      </c>
      <c r="F465">
        <v>0.98537952970546305</v>
      </c>
    </row>
    <row r="466" spans="1:6" ht="15" customHeight="1" x14ac:dyDescent="0.25">
      <c r="A466" s="1">
        <v>42979</v>
      </c>
      <c r="B466" t="s">
        <v>3</v>
      </c>
      <c r="C466" t="s">
        <v>6</v>
      </c>
      <c r="D466">
        <v>0.95534670873966099</v>
      </c>
      <c r="E466">
        <v>0.95495798205610105</v>
      </c>
      <c r="F466">
        <v>0.95573559365891103</v>
      </c>
    </row>
    <row r="467" spans="1:6" ht="15" customHeight="1" x14ac:dyDescent="0.25">
      <c r="A467" s="1">
        <v>43009</v>
      </c>
      <c r="B467" t="s">
        <v>3</v>
      </c>
      <c r="C467" t="s">
        <v>6</v>
      </c>
      <c r="D467">
        <v>0.98373239368980103</v>
      </c>
      <c r="E467">
        <v>0.98333211707159995</v>
      </c>
      <c r="F467">
        <v>0.98413283324519196</v>
      </c>
    </row>
    <row r="468" spans="1:6" ht="15" customHeight="1" x14ac:dyDescent="0.25">
      <c r="A468" s="1">
        <v>43040</v>
      </c>
      <c r="B468" t="s">
        <v>3</v>
      </c>
      <c r="C468" t="s">
        <v>6</v>
      </c>
      <c r="D468">
        <v>0.98275457577251801</v>
      </c>
      <c r="E468">
        <v>0.98235469698744105</v>
      </c>
      <c r="F468">
        <v>0.98315461733285703</v>
      </c>
    </row>
    <row r="469" spans="1:6" ht="15" customHeight="1" x14ac:dyDescent="0.25">
      <c r="A469" s="1">
        <v>43070</v>
      </c>
      <c r="B469" t="s">
        <v>3</v>
      </c>
      <c r="C469" t="s">
        <v>6</v>
      </c>
      <c r="D469">
        <v>0.93801628723429098</v>
      </c>
      <c r="E469">
        <v>0.93763461234794498</v>
      </c>
      <c r="F469">
        <v>0.93839811748576296</v>
      </c>
    </row>
    <row r="470" spans="1:6" ht="15" customHeight="1" x14ac:dyDescent="0.25">
      <c r="A470" s="1">
        <v>43101</v>
      </c>
      <c r="B470" t="s">
        <v>3</v>
      </c>
      <c r="C470" t="s">
        <v>6</v>
      </c>
      <c r="D470">
        <v>0.932631279554753</v>
      </c>
      <c r="E470">
        <v>0.93225179556513105</v>
      </c>
      <c r="F470">
        <v>0.93301091801776803</v>
      </c>
    </row>
    <row r="471" spans="1:6" ht="15" customHeight="1" x14ac:dyDescent="0.25">
      <c r="A471" s="1">
        <v>43132</v>
      </c>
      <c r="B471" t="s">
        <v>3</v>
      </c>
      <c r="C471" t="s">
        <v>6</v>
      </c>
      <c r="D471">
        <v>0.96093338425340502</v>
      </c>
      <c r="E471">
        <v>0.96054238460493102</v>
      </c>
      <c r="F471">
        <v>0.96132454306271098</v>
      </c>
    </row>
    <row r="472" spans="1:6" ht="15" customHeight="1" x14ac:dyDescent="0.25">
      <c r="A472" s="1">
        <v>43160</v>
      </c>
      <c r="B472" t="s">
        <v>3</v>
      </c>
      <c r="C472" t="s">
        <v>6</v>
      </c>
      <c r="D472">
        <v>0.93828197374893096</v>
      </c>
      <c r="E472">
        <v>0.93790018942741604</v>
      </c>
      <c r="F472">
        <v>0.93866391348066003</v>
      </c>
    </row>
    <row r="473" spans="1:6" ht="15" customHeight="1" x14ac:dyDescent="0.25">
      <c r="A473" s="1">
        <v>43191</v>
      </c>
      <c r="B473" t="s">
        <v>3</v>
      </c>
      <c r="C473" t="s">
        <v>6</v>
      </c>
      <c r="D473">
        <v>0.98032630678643995</v>
      </c>
      <c r="E473">
        <v>0.83900301566896995</v>
      </c>
      <c r="F473">
        <v>1.14545436646764</v>
      </c>
    </row>
    <row r="474" spans="1:6" ht="15" customHeight="1" x14ac:dyDescent="0.25">
      <c r="A474" s="1">
        <v>43221</v>
      </c>
      <c r="B474" t="s">
        <v>3</v>
      </c>
      <c r="C474" t="s">
        <v>6</v>
      </c>
      <c r="D474">
        <v>0.991107641524963</v>
      </c>
      <c r="E474">
        <v>0.79256368945272904</v>
      </c>
      <c r="F474">
        <v>1.23938854398876</v>
      </c>
    </row>
    <row r="475" spans="1:6" ht="15" customHeight="1" x14ac:dyDescent="0.25">
      <c r="A475" s="1">
        <v>43252</v>
      </c>
      <c r="B475" t="s">
        <v>3</v>
      </c>
      <c r="C475" t="s">
        <v>6</v>
      </c>
      <c r="D475">
        <v>1.0160757857242799</v>
      </c>
      <c r="E475">
        <v>0.76273584831310803</v>
      </c>
      <c r="F475">
        <v>1.35356166177127</v>
      </c>
    </row>
    <row r="476" spans="1:6" ht="15" customHeight="1" x14ac:dyDescent="0.25">
      <c r="A476" s="1">
        <v>43282</v>
      </c>
      <c r="B476" t="s">
        <v>3</v>
      </c>
      <c r="C476" t="s">
        <v>6</v>
      </c>
      <c r="D476">
        <v>1.03791408192104</v>
      </c>
      <c r="E476">
        <v>0.74936919802523305</v>
      </c>
      <c r="F476">
        <v>1.4375632789402799</v>
      </c>
    </row>
    <row r="477" spans="1:6" ht="15" customHeight="1" x14ac:dyDescent="0.25">
      <c r="A477" s="1">
        <v>43313</v>
      </c>
      <c r="B477" t="s">
        <v>3</v>
      </c>
      <c r="C477" t="s">
        <v>6</v>
      </c>
      <c r="D477">
        <v>1.02461502915611</v>
      </c>
      <c r="E477">
        <v>0.71198748640167697</v>
      </c>
      <c r="F477">
        <v>1.4745146200228401</v>
      </c>
    </row>
    <row r="478" spans="1:6" ht="15" customHeight="1" x14ac:dyDescent="0.25">
      <c r="A478" s="1">
        <v>43344</v>
      </c>
      <c r="B478" t="s">
        <v>3</v>
      </c>
      <c r="C478" t="s">
        <v>6</v>
      </c>
      <c r="D478">
        <v>1.0112794569905199</v>
      </c>
      <c r="E478">
        <v>0.68245552353170502</v>
      </c>
      <c r="F478">
        <v>1.4985388862246101</v>
      </c>
    </row>
    <row r="479" spans="1:6" ht="15" customHeight="1" x14ac:dyDescent="0.25">
      <c r="A479" s="1">
        <v>43374</v>
      </c>
      <c r="B479" t="s">
        <v>3</v>
      </c>
      <c r="C479" t="s">
        <v>6</v>
      </c>
      <c r="D479">
        <v>1.0137160602837101</v>
      </c>
      <c r="E479">
        <v>0.66663888292713702</v>
      </c>
      <c r="F479">
        <v>1.54149461904316</v>
      </c>
    </row>
    <row r="480" spans="1:6" ht="15" customHeight="1" x14ac:dyDescent="0.25">
      <c r="A480" s="1">
        <v>43405</v>
      </c>
      <c r="B480" t="s">
        <v>3</v>
      </c>
      <c r="C480" t="s">
        <v>6</v>
      </c>
      <c r="D480">
        <v>0.95907307461329305</v>
      </c>
      <c r="E480">
        <v>0.61824757508165296</v>
      </c>
      <c r="F480">
        <v>1.48778773993042</v>
      </c>
    </row>
    <row r="481" spans="1:6" ht="15" customHeight="1" x14ac:dyDescent="0.25">
      <c r="A481" s="1">
        <v>43435</v>
      </c>
      <c r="B481" t="s">
        <v>3</v>
      </c>
      <c r="C481" t="s">
        <v>6</v>
      </c>
      <c r="D481">
        <v>0.93676694018715301</v>
      </c>
      <c r="E481">
        <v>0.59099206576072905</v>
      </c>
      <c r="F481">
        <v>1.4848461613406501</v>
      </c>
    </row>
    <row r="482" spans="1:6" ht="15" customHeight="1" x14ac:dyDescent="0.25">
      <c r="A482" s="1">
        <v>43466</v>
      </c>
      <c r="B482" t="s">
        <v>3</v>
      </c>
      <c r="C482" t="s">
        <v>6</v>
      </c>
      <c r="D482">
        <v>0.94616663521184996</v>
      </c>
      <c r="E482">
        <v>0.57835192172974503</v>
      </c>
      <c r="F482">
        <v>1.54790062581731</v>
      </c>
    </row>
    <row r="483" spans="1:6" ht="15" customHeight="1" x14ac:dyDescent="0.25">
      <c r="A483" s="1">
        <v>43497</v>
      </c>
      <c r="B483" t="s">
        <v>3</v>
      </c>
      <c r="C483" t="s">
        <v>6</v>
      </c>
      <c r="D483">
        <v>0.90695547197603299</v>
      </c>
      <c r="E483">
        <v>0.54158417005035997</v>
      </c>
      <c r="F483">
        <v>1.51881881641921</v>
      </c>
    </row>
    <row r="484" spans="1:6" ht="15" customHeight="1" x14ac:dyDescent="0.25">
      <c r="A484" s="1">
        <v>43525</v>
      </c>
      <c r="B484" t="s">
        <v>3</v>
      </c>
      <c r="C484" t="s">
        <v>6</v>
      </c>
      <c r="D484">
        <v>0.91916087909876898</v>
      </c>
      <c r="E484">
        <v>0.53503366692592402</v>
      </c>
      <c r="F484">
        <v>1.57907207320207</v>
      </c>
    </row>
    <row r="485" spans="1:6" ht="15" customHeight="1" x14ac:dyDescent="0.25">
      <c r="A485" s="1">
        <v>43556</v>
      </c>
      <c r="B485" t="s">
        <v>3</v>
      </c>
      <c r="C485" t="s">
        <v>6</v>
      </c>
      <c r="D485">
        <v>0.95453167167548603</v>
      </c>
      <c r="E485">
        <v>0.53703865184556598</v>
      </c>
      <c r="F485">
        <v>1.6965831213460001</v>
      </c>
    </row>
    <row r="486" spans="1:6" ht="15" customHeight="1" x14ac:dyDescent="0.25">
      <c r="A486" s="1">
        <v>43586</v>
      </c>
      <c r="B486" t="s">
        <v>3</v>
      </c>
      <c r="C486" t="s">
        <v>6</v>
      </c>
      <c r="D486">
        <v>0.965705821940255</v>
      </c>
      <c r="E486">
        <v>0.52789188338945303</v>
      </c>
      <c r="F486">
        <v>1.76662639429386</v>
      </c>
    </row>
    <row r="487" spans="1:6" ht="15" customHeight="1" x14ac:dyDescent="0.25">
      <c r="A487" s="1">
        <v>43617</v>
      </c>
      <c r="B487" t="s">
        <v>3</v>
      </c>
      <c r="C487" t="s">
        <v>6</v>
      </c>
      <c r="D487">
        <v>0.99075120786919801</v>
      </c>
      <c r="E487">
        <v>0.52305868750286</v>
      </c>
      <c r="F487">
        <v>1.8766306331331299</v>
      </c>
    </row>
    <row r="488" spans="1:6" ht="15" customHeight="1" x14ac:dyDescent="0.25">
      <c r="A488" s="1">
        <v>43647</v>
      </c>
      <c r="B488" t="s">
        <v>3</v>
      </c>
      <c r="C488" t="s">
        <v>6</v>
      </c>
      <c r="D488">
        <v>1.01785364633288</v>
      </c>
      <c r="E488">
        <v>0.52246281459950294</v>
      </c>
      <c r="F488">
        <v>1.98296609137114</v>
      </c>
    </row>
    <row r="489" spans="1:6" ht="15" customHeight="1" x14ac:dyDescent="0.25">
      <c r="A489" s="1">
        <v>43678</v>
      </c>
      <c r="B489" t="s">
        <v>3</v>
      </c>
      <c r="C489" t="s">
        <v>6</v>
      </c>
      <c r="D489">
        <v>1.0107713549798401</v>
      </c>
      <c r="E489">
        <v>0.50417074898427905</v>
      </c>
      <c r="F489">
        <v>2.02641413470743</v>
      </c>
    </row>
    <row r="490" spans="1:6" ht="15" customHeight="1" x14ac:dyDescent="0.25">
      <c r="A490" s="1">
        <v>43709</v>
      </c>
      <c r="B490" t="s">
        <v>3</v>
      </c>
      <c r="C490" t="s">
        <v>6</v>
      </c>
      <c r="D490">
        <v>1.0035330042211601</v>
      </c>
      <c r="E490">
        <v>0.49006912976674399</v>
      </c>
      <c r="F490">
        <v>2.05497230776498</v>
      </c>
    </row>
    <row r="491" spans="1:6" ht="15" customHeight="1" x14ac:dyDescent="0.25">
      <c r="A491" s="1">
        <v>43739</v>
      </c>
      <c r="B491" t="s">
        <v>3</v>
      </c>
      <c r="C491" t="s">
        <v>6</v>
      </c>
      <c r="D491">
        <v>1.0184001127773901</v>
      </c>
      <c r="E491">
        <v>0.48495193351814297</v>
      </c>
      <c r="F491">
        <v>2.13864244685232</v>
      </c>
    </row>
    <row r="492" spans="1:6" ht="15" customHeight="1" x14ac:dyDescent="0.25">
      <c r="A492" s="1">
        <v>43770</v>
      </c>
      <c r="B492" t="s">
        <v>3</v>
      </c>
      <c r="C492" t="s">
        <v>6</v>
      </c>
      <c r="D492">
        <v>0.97582850794911302</v>
      </c>
      <c r="E492">
        <v>0.45725610926725802</v>
      </c>
      <c r="F492">
        <v>2.0825118738208599</v>
      </c>
    </row>
    <row r="493" spans="1:6" ht="15" customHeight="1" x14ac:dyDescent="0.25">
      <c r="A493" s="1">
        <v>43800</v>
      </c>
      <c r="B493" t="s">
        <v>3</v>
      </c>
      <c r="C493" t="s">
        <v>6</v>
      </c>
      <c r="D493">
        <v>0.96492819128975305</v>
      </c>
      <c r="E493">
        <v>0.44154365012570401</v>
      </c>
      <c r="F493">
        <v>2.10870751754813</v>
      </c>
    </row>
    <row r="494" spans="1:6" ht="15" customHeight="1" x14ac:dyDescent="0.25">
      <c r="A494" s="1">
        <v>43831</v>
      </c>
      <c r="B494" t="s">
        <v>3</v>
      </c>
      <c r="C494" t="s">
        <v>6</v>
      </c>
      <c r="D494">
        <v>0.948210279742285</v>
      </c>
      <c r="E494">
        <v>0.42567662310568</v>
      </c>
      <c r="F494">
        <v>2.11217315165021</v>
      </c>
    </row>
    <row r="495" spans="1:6" ht="15" customHeight="1" x14ac:dyDescent="0.25">
      <c r="A495" s="1">
        <v>43862</v>
      </c>
      <c r="B495" t="s">
        <v>3</v>
      </c>
      <c r="C495" t="s">
        <v>6</v>
      </c>
      <c r="D495">
        <v>0.88429381161491705</v>
      </c>
      <c r="E495">
        <v>0.39153884716828502</v>
      </c>
      <c r="F495">
        <v>1.99718508371748</v>
      </c>
    </row>
    <row r="496" spans="1:6" ht="15" customHeight="1" x14ac:dyDescent="0.25">
      <c r="A496" s="1">
        <v>43891</v>
      </c>
      <c r="B496" t="s">
        <v>3</v>
      </c>
      <c r="C496" t="s">
        <v>6</v>
      </c>
      <c r="D496">
        <v>0.87423846609178901</v>
      </c>
      <c r="E496">
        <v>0.37949703989079397</v>
      </c>
      <c r="F496">
        <v>2.0139627329226601</v>
      </c>
    </row>
    <row r="497" spans="1:6" ht="15" customHeight="1" x14ac:dyDescent="0.25">
      <c r="A497" s="1">
        <v>43922</v>
      </c>
      <c r="B497" t="s">
        <v>3</v>
      </c>
      <c r="C497" t="s">
        <v>6</v>
      </c>
      <c r="D497">
        <v>0.88629121903663899</v>
      </c>
      <c r="E497">
        <v>0.37519701106195502</v>
      </c>
      <c r="F497">
        <v>2.0935991006915202</v>
      </c>
    </row>
    <row r="498" spans="1:6" ht="15" customHeight="1" x14ac:dyDescent="0.25">
      <c r="A498" s="1">
        <v>43952</v>
      </c>
      <c r="B498" t="s">
        <v>3</v>
      </c>
      <c r="C498" t="s">
        <v>6</v>
      </c>
      <c r="D498">
        <v>0.87602368301634104</v>
      </c>
      <c r="E498">
        <v>0.36252027011576599</v>
      </c>
      <c r="F498">
        <v>2.1168954027327902</v>
      </c>
    </row>
    <row r="499" spans="1:6" ht="15" customHeight="1" x14ac:dyDescent="0.25">
      <c r="A499" s="1">
        <v>43983</v>
      </c>
      <c r="B499" t="s">
        <v>3</v>
      </c>
      <c r="C499" t="s">
        <v>6</v>
      </c>
      <c r="D499">
        <v>0.87737111450362903</v>
      </c>
      <c r="E499">
        <v>0.353912188577234</v>
      </c>
      <c r="F499">
        <v>2.17505951309544</v>
      </c>
    </row>
    <row r="500" spans="1:6" ht="15" customHeight="1" x14ac:dyDescent="0.25">
      <c r="A500" s="1">
        <v>44013</v>
      </c>
      <c r="B500" t="s">
        <v>3</v>
      </c>
      <c r="C500" t="s">
        <v>6</v>
      </c>
      <c r="D500">
        <v>0.88206115671964203</v>
      </c>
      <c r="E500">
        <v>0.34759869033467</v>
      </c>
      <c r="F500">
        <v>2.2383049931646699</v>
      </c>
    </row>
    <row r="501" spans="1:6" ht="15" customHeight="1" x14ac:dyDescent="0.25">
      <c r="A501" s="1">
        <v>44044</v>
      </c>
      <c r="B501" t="s">
        <v>3</v>
      </c>
      <c r="C501" t="s">
        <v>6</v>
      </c>
      <c r="D501">
        <v>0.85653953489213797</v>
      </c>
      <c r="E501">
        <v>0.33037228791031298</v>
      </c>
      <c r="F501">
        <v>2.2207067653095902</v>
      </c>
    </row>
    <row r="502" spans="1:6" ht="15" customHeight="1" x14ac:dyDescent="0.25">
      <c r="A502" s="1">
        <v>44075</v>
      </c>
      <c r="B502" t="s">
        <v>3</v>
      </c>
      <c r="C502" t="s">
        <v>6</v>
      </c>
      <c r="D502">
        <v>0.831586202073197</v>
      </c>
      <c r="E502">
        <v>0.315384850502957</v>
      </c>
      <c r="F502">
        <v>2.1926722554228699</v>
      </c>
    </row>
    <row r="503" spans="1:6" ht="15" customHeight="1" x14ac:dyDescent="0.25">
      <c r="A503" s="1">
        <v>44105</v>
      </c>
      <c r="B503" t="s">
        <v>3</v>
      </c>
      <c r="C503" t="s">
        <v>6</v>
      </c>
      <c r="D503">
        <v>0.82121575748171804</v>
      </c>
      <c r="E503">
        <v>0.30515347306963397</v>
      </c>
      <c r="F503">
        <v>2.21002013692428</v>
      </c>
    </row>
    <row r="504" spans="1:6" ht="15" customHeight="1" x14ac:dyDescent="0.25">
      <c r="A504" s="1">
        <v>44136</v>
      </c>
      <c r="B504" t="s">
        <v>3</v>
      </c>
      <c r="C504" t="s">
        <v>6</v>
      </c>
      <c r="D504">
        <v>0.765034460329303</v>
      </c>
      <c r="E504">
        <v>0.28017374802403899</v>
      </c>
      <c r="F504">
        <v>2.0889813182680101</v>
      </c>
    </row>
    <row r="505" spans="1:6" ht="15" customHeight="1" x14ac:dyDescent="0.25">
      <c r="A505" s="1">
        <v>44166</v>
      </c>
      <c r="B505" t="s">
        <v>3</v>
      </c>
      <c r="C505" t="s">
        <v>6</v>
      </c>
      <c r="D505">
        <v>0.73614897578707905</v>
      </c>
      <c r="E505">
        <v>0.26372246607844702</v>
      </c>
      <c r="F505">
        <v>2.0548697371545401</v>
      </c>
    </row>
    <row r="506" spans="1:6" ht="15" customHeight="1" x14ac:dyDescent="0.25">
      <c r="A506" s="1">
        <v>41821</v>
      </c>
      <c r="B506" t="s">
        <v>9</v>
      </c>
      <c r="C506" t="s">
        <v>4</v>
      </c>
      <c r="D506">
        <v>9.6700353324201007</v>
      </c>
      <c r="E506">
        <v>9.4112283872492597</v>
      </c>
      <c r="F506">
        <v>9.9359594181078492</v>
      </c>
    </row>
    <row r="507" spans="1:6" ht="15" customHeight="1" x14ac:dyDescent="0.25">
      <c r="A507" s="1">
        <v>41852</v>
      </c>
      <c r="B507" t="s">
        <v>9</v>
      </c>
      <c r="C507" t="s">
        <v>4</v>
      </c>
      <c r="D507">
        <v>9.6055742587913695</v>
      </c>
      <c r="E507">
        <v>9.3742963878354697</v>
      </c>
      <c r="F507">
        <v>9.8425580997081994</v>
      </c>
    </row>
    <row r="508" spans="1:6" ht="15" customHeight="1" x14ac:dyDescent="0.25">
      <c r="A508" s="1">
        <v>41883</v>
      </c>
      <c r="B508" t="s">
        <v>9</v>
      </c>
      <c r="C508" t="s">
        <v>4</v>
      </c>
      <c r="D508">
        <v>9.2100972616207404</v>
      </c>
      <c r="E508">
        <v>8.9883740829678391</v>
      </c>
      <c r="F508">
        <v>9.4372898574894997</v>
      </c>
    </row>
    <row r="509" spans="1:6" ht="15" customHeight="1" x14ac:dyDescent="0.25">
      <c r="A509" s="1">
        <v>41913</v>
      </c>
      <c r="B509" t="s">
        <v>9</v>
      </c>
      <c r="C509" t="s">
        <v>4</v>
      </c>
      <c r="D509">
        <v>9.2006459424341092</v>
      </c>
      <c r="E509">
        <v>8.9803595849070899</v>
      </c>
      <c r="F509">
        <v>9.4263358786100309</v>
      </c>
    </row>
    <row r="510" spans="1:6" ht="15" customHeight="1" x14ac:dyDescent="0.25">
      <c r="A510" s="1">
        <v>41944</v>
      </c>
      <c r="B510" t="s">
        <v>9</v>
      </c>
      <c r="C510" t="s">
        <v>4</v>
      </c>
      <c r="D510">
        <v>8.9063161283440504</v>
      </c>
      <c r="E510">
        <v>8.6912454716308396</v>
      </c>
      <c r="F510">
        <v>9.1267088516735999</v>
      </c>
    </row>
    <row r="511" spans="1:6" ht="15" customHeight="1" x14ac:dyDescent="0.25">
      <c r="A511" s="1">
        <v>41974</v>
      </c>
      <c r="B511" t="s">
        <v>9</v>
      </c>
      <c r="C511" t="s">
        <v>4</v>
      </c>
      <c r="D511">
        <v>8.7236828966842701</v>
      </c>
      <c r="E511">
        <v>8.5142290089846</v>
      </c>
      <c r="F511">
        <v>8.9382894448334405</v>
      </c>
    </row>
    <row r="512" spans="1:6" ht="15" customHeight="1" x14ac:dyDescent="0.25">
      <c r="A512" s="1">
        <v>42005</v>
      </c>
      <c r="B512" t="s">
        <v>9</v>
      </c>
      <c r="C512" t="s">
        <v>4</v>
      </c>
      <c r="D512">
        <v>8.5383268218830608</v>
      </c>
      <c r="E512">
        <v>8.3290666840716998</v>
      </c>
      <c r="F512">
        <v>8.7528444281404898</v>
      </c>
    </row>
    <row r="513" spans="1:6" ht="15" customHeight="1" x14ac:dyDescent="0.25">
      <c r="A513" s="1">
        <v>42036</v>
      </c>
      <c r="B513" t="s">
        <v>9</v>
      </c>
      <c r="C513" t="s">
        <v>4</v>
      </c>
      <c r="D513">
        <v>8.4060816745365194</v>
      </c>
      <c r="E513">
        <v>8.2040989831993407</v>
      </c>
      <c r="F513">
        <v>8.6130371249400408</v>
      </c>
    </row>
    <row r="514" spans="1:6" ht="15" customHeight="1" x14ac:dyDescent="0.25">
      <c r="A514" s="1">
        <v>42064</v>
      </c>
      <c r="B514" t="s">
        <v>9</v>
      </c>
      <c r="C514" t="s">
        <v>4</v>
      </c>
      <c r="D514">
        <v>7.8384423495944002</v>
      </c>
      <c r="E514">
        <v>7.64699376278325</v>
      </c>
      <c r="F514">
        <v>8.0346840044436494</v>
      </c>
    </row>
    <row r="515" spans="1:6" ht="15" customHeight="1" x14ac:dyDescent="0.25">
      <c r="A515" s="1">
        <v>42095</v>
      </c>
      <c r="B515" t="s">
        <v>9</v>
      </c>
      <c r="C515" t="s">
        <v>4</v>
      </c>
      <c r="D515">
        <v>7.91525609561163</v>
      </c>
      <c r="E515">
        <v>7.7202436639008196</v>
      </c>
      <c r="F515">
        <v>8.1151945180265503</v>
      </c>
    </row>
    <row r="516" spans="1:6" ht="15" customHeight="1" x14ac:dyDescent="0.25">
      <c r="A516" s="1">
        <v>42125</v>
      </c>
      <c r="B516" t="s">
        <v>9</v>
      </c>
      <c r="C516" t="s">
        <v>4</v>
      </c>
      <c r="D516">
        <v>7.8051724913306497</v>
      </c>
      <c r="E516">
        <v>7.6076903320106801</v>
      </c>
      <c r="F516">
        <v>8.0077809375455402</v>
      </c>
    </row>
    <row r="517" spans="1:6" ht="15" customHeight="1" x14ac:dyDescent="0.25">
      <c r="A517" s="1">
        <v>42156</v>
      </c>
      <c r="B517" t="s">
        <v>9</v>
      </c>
      <c r="C517" t="s">
        <v>4</v>
      </c>
      <c r="D517">
        <v>7.5127803086410196</v>
      </c>
      <c r="E517">
        <v>7.3282645478054498</v>
      </c>
      <c r="F517">
        <v>7.7019419260466702</v>
      </c>
    </row>
    <row r="518" spans="1:6" ht="15" customHeight="1" x14ac:dyDescent="0.25">
      <c r="A518" s="1">
        <v>42186</v>
      </c>
      <c r="B518" t="s">
        <v>9</v>
      </c>
      <c r="C518" t="s">
        <v>4</v>
      </c>
      <c r="D518">
        <v>7.3471997759128298</v>
      </c>
      <c r="E518">
        <v>7.1660117235818301</v>
      </c>
      <c r="F518">
        <v>7.5329690529995101</v>
      </c>
    </row>
    <row r="519" spans="1:6" ht="15" customHeight="1" x14ac:dyDescent="0.25">
      <c r="A519" s="1">
        <v>42217</v>
      </c>
      <c r="B519" t="s">
        <v>9</v>
      </c>
      <c r="C519" t="s">
        <v>4</v>
      </c>
      <c r="D519">
        <v>7.3421423641609103</v>
      </c>
      <c r="E519">
        <v>7.1654720340470002</v>
      </c>
      <c r="F519">
        <v>7.5231686397581399</v>
      </c>
    </row>
    <row r="520" spans="1:6" ht="15" customHeight="1" x14ac:dyDescent="0.25">
      <c r="A520" s="1">
        <v>42248</v>
      </c>
      <c r="B520" t="s">
        <v>9</v>
      </c>
      <c r="C520" t="s">
        <v>4</v>
      </c>
      <c r="D520">
        <v>7.4154240750303497</v>
      </c>
      <c r="E520">
        <v>7.2324107040709196</v>
      </c>
      <c r="F520">
        <v>7.6030685289468201</v>
      </c>
    </row>
    <row r="521" spans="1:6" ht="15" customHeight="1" x14ac:dyDescent="0.25">
      <c r="A521" s="1">
        <v>42278</v>
      </c>
      <c r="B521" t="s">
        <v>9</v>
      </c>
      <c r="C521" t="s">
        <v>4</v>
      </c>
      <c r="D521">
        <v>7.3961666125130199</v>
      </c>
      <c r="E521">
        <v>7.2135349135525502</v>
      </c>
      <c r="F521">
        <v>7.5834221661944996</v>
      </c>
    </row>
    <row r="522" spans="1:6" ht="15" customHeight="1" x14ac:dyDescent="0.25">
      <c r="A522" s="1">
        <v>42309</v>
      </c>
      <c r="B522" t="s">
        <v>9</v>
      </c>
      <c r="C522" t="s">
        <v>4</v>
      </c>
      <c r="D522">
        <v>7.34130843720631</v>
      </c>
      <c r="E522">
        <v>7.1568299838938998</v>
      </c>
      <c r="F522">
        <v>7.5305421103315604</v>
      </c>
    </row>
    <row r="523" spans="1:6" ht="15" customHeight="1" x14ac:dyDescent="0.25">
      <c r="A523" s="1">
        <v>42339</v>
      </c>
      <c r="B523" t="s">
        <v>9</v>
      </c>
      <c r="C523" t="s">
        <v>4</v>
      </c>
      <c r="D523">
        <v>6.9958397155189997</v>
      </c>
      <c r="E523">
        <v>6.8287349803753701</v>
      </c>
      <c r="F523">
        <v>7.1670336403277304</v>
      </c>
    </row>
    <row r="524" spans="1:6" ht="15" customHeight="1" x14ac:dyDescent="0.25">
      <c r="A524" s="1">
        <v>42370</v>
      </c>
      <c r="B524" t="s">
        <v>9</v>
      </c>
      <c r="C524" t="s">
        <v>4</v>
      </c>
      <c r="D524">
        <v>6.9489874118610997</v>
      </c>
      <c r="E524">
        <v>6.7818597407345704</v>
      </c>
      <c r="F524">
        <v>7.1202336669047304</v>
      </c>
    </row>
    <row r="525" spans="1:6" ht="15" customHeight="1" x14ac:dyDescent="0.25">
      <c r="A525" s="1">
        <v>42401</v>
      </c>
      <c r="B525" t="s">
        <v>9</v>
      </c>
      <c r="C525" t="s">
        <v>4</v>
      </c>
      <c r="D525">
        <v>7.0254907299904801</v>
      </c>
      <c r="E525">
        <v>6.8496490204855398</v>
      </c>
      <c r="F525">
        <v>7.2058465841923498</v>
      </c>
    </row>
    <row r="526" spans="1:6" ht="15" customHeight="1" x14ac:dyDescent="0.25">
      <c r="A526" s="1">
        <v>42430</v>
      </c>
      <c r="B526" t="s">
        <v>9</v>
      </c>
      <c r="C526" t="s">
        <v>4</v>
      </c>
      <c r="D526">
        <v>7.1852686334854399</v>
      </c>
      <c r="E526">
        <v>7.0080530703789901</v>
      </c>
      <c r="F526">
        <v>7.3669655205047899</v>
      </c>
    </row>
    <row r="527" spans="1:6" ht="15" customHeight="1" x14ac:dyDescent="0.25">
      <c r="A527" s="1">
        <v>42461</v>
      </c>
      <c r="B527" t="s">
        <v>9</v>
      </c>
      <c r="C527" t="s">
        <v>4</v>
      </c>
      <c r="D527">
        <v>7.9168229549366798</v>
      </c>
      <c r="E527">
        <v>7.7197107836453602</v>
      </c>
      <c r="F527">
        <v>8.1189681137530592</v>
      </c>
    </row>
    <row r="528" spans="1:6" ht="15" customHeight="1" x14ac:dyDescent="0.25">
      <c r="A528" s="1">
        <v>42491</v>
      </c>
      <c r="B528" t="s">
        <v>9</v>
      </c>
      <c r="C528" t="s">
        <v>4</v>
      </c>
      <c r="D528">
        <v>7.8867360529248902</v>
      </c>
      <c r="E528">
        <v>7.6918181266841597</v>
      </c>
      <c r="F528">
        <v>8.0865933832628407</v>
      </c>
    </row>
    <row r="529" spans="1:6" ht="15" customHeight="1" x14ac:dyDescent="0.25">
      <c r="A529" s="1">
        <v>42522</v>
      </c>
      <c r="B529" t="s">
        <v>9</v>
      </c>
      <c r="C529" t="s">
        <v>4</v>
      </c>
      <c r="D529">
        <v>7.83231324015195</v>
      </c>
      <c r="E529">
        <v>7.6396140734095503</v>
      </c>
      <c r="F529">
        <v>8.0298729886601894</v>
      </c>
    </row>
    <row r="530" spans="1:6" ht="15" customHeight="1" x14ac:dyDescent="0.25">
      <c r="A530" s="1">
        <v>42552</v>
      </c>
      <c r="B530" t="s">
        <v>9</v>
      </c>
      <c r="C530" t="s">
        <v>4</v>
      </c>
      <c r="D530">
        <v>8.0046476021362594</v>
      </c>
      <c r="E530">
        <v>7.8101735580740703</v>
      </c>
      <c r="F530">
        <v>8.2039640678850905</v>
      </c>
    </row>
    <row r="531" spans="1:6" ht="15" customHeight="1" x14ac:dyDescent="0.25">
      <c r="A531" s="1">
        <v>42583</v>
      </c>
      <c r="B531" t="s">
        <v>9</v>
      </c>
      <c r="C531" t="s">
        <v>4</v>
      </c>
      <c r="D531">
        <v>8.1600116696239304</v>
      </c>
      <c r="E531">
        <v>7.9646472763971197</v>
      </c>
      <c r="F531">
        <v>8.3601681452639696</v>
      </c>
    </row>
    <row r="532" spans="1:6" ht="15" customHeight="1" x14ac:dyDescent="0.25">
      <c r="A532" s="1">
        <v>42614</v>
      </c>
      <c r="B532" t="s">
        <v>9</v>
      </c>
      <c r="C532" t="s">
        <v>4</v>
      </c>
      <c r="D532">
        <v>8.2348154320775198</v>
      </c>
      <c r="E532">
        <v>8.0344210097727409</v>
      </c>
      <c r="F532">
        <v>8.4402080894065801</v>
      </c>
    </row>
    <row r="533" spans="1:6" ht="15" customHeight="1" x14ac:dyDescent="0.25">
      <c r="A533" s="1">
        <v>42644</v>
      </c>
      <c r="B533" t="s">
        <v>9</v>
      </c>
      <c r="C533" t="s">
        <v>4</v>
      </c>
      <c r="D533">
        <v>8.5259392135029994</v>
      </c>
      <c r="E533">
        <v>8.3172172921535594</v>
      </c>
      <c r="F533">
        <v>8.7398990454325691</v>
      </c>
    </row>
    <row r="534" spans="1:6" ht="15" customHeight="1" x14ac:dyDescent="0.25">
      <c r="A534" s="1">
        <v>42675</v>
      </c>
      <c r="B534" t="s">
        <v>9</v>
      </c>
      <c r="C534" t="s">
        <v>4</v>
      </c>
      <c r="D534">
        <v>8.3671852063241694</v>
      </c>
      <c r="E534">
        <v>8.1596170837630808</v>
      </c>
      <c r="F534">
        <v>8.58003354302536</v>
      </c>
    </row>
    <row r="535" spans="1:6" ht="15" customHeight="1" x14ac:dyDescent="0.25">
      <c r="A535" s="1">
        <v>42705</v>
      </c>
      <c r="B535" t="s">
        <v>9</v>
      </c>
      <c r="C535" t="s">
        <v>4</v>
      </c>
      <c r="D535">
        <v>8.2532054208535008</v>
      </c>
      <c r="E535">
        <v>8.0560028771063994</v>
      </c>
      <c r="F535">
        <v>8.4552352770846593</v>
      </c>
    </row>
    <row r="536" spans="1:6" ht="15" customHeight="1" x14ac:dyDescent="0.25">
      <c r="A536" s="1">
        <v>42736</v>
      </c>
      <c r="B536" t="s">
        <v>9</v>
      </c>
      <c r="C536" t="s">
        <v>4</v>
      </c>
      <c r="D536">
        <v>8.2161169497650803</v>
      </c>
      <c r="E536">
        <v>8.01428485677007</v>
      </c>
      <c r="F536">
        <v>8.4230319908322802</v>
      </c>
    </row>
    <row r="537" spans="1:6" ht="15" customHeight="1" x14ac:dyDescent="0.25">
      <c r="A537" s="1">
        <v>42767</v>
      </c>
      <c r="B537" t="s">
        <v>9</v>
      </c>
      <c r="C537" t="s">
        <v>4</v>
      </c>
      <c r="D537">
        <v>8.3687067976482297</v>
      </c>
      <c r="E537">
        <v>8.1638410887450199</v>
      </c>
      <c r="F537">
        <v>8.5787134638812397</v>
      </c>
    </row>
    <row r="538" spans="1:6" ht="15" customHeight="1" x14ac:dyDescent="0.25">
      <c r="A538" s="1">
        <v>42795</v>
      </c>
      <c r="B538" t="s">
        <v>9</v>
      </c>
      <c r="C538" t="s">
        <v>4</v>
      </c>
      <c r="D538">
        <v>8.2889079349128902</v>
      </c>
      <c r="E538">
        <v>8.0845152278366399</v>
      </c>
      <c r="F538">
        <v>8.4984680982346408</v>
      </c>
    </row>
    <row r="539" spans="1:6" ht="15" customHeight="1" x14ac:dyDescent="0.25">
      <c r="A539" s="1">
        <v>42826</v>
      </c>
      <c r="B539" t="s">
        <v>9</v>
      </c>
      <c r="C539" t="s">
        <v>4</v>
      </c>
      <c r="D539">
        <v>8.5536849327226694</v>
      </c>
      <c r="E539">
        <v>8.3415489818121404</v>
      </c>
      <c r="F539">
        <v>8.77121576434023</v>
      </c>
    </row>
    <row r="540" spans="1:6" ht="15" customHeight="1" x14ac:dyDescent="0.25">
      <c r="A540" s="1">
        <v>42856</v>
      </c>
      <c r="B540" t="s">
        <v>9</v>
      </c>
      <c r="C540" t="s">
        <v>4</v>
      </c>
      <c r="D540">
        <v>8.6305976523524492</v>
      </c>
      <c r="E540">
        <v>8.4166263714226304</v>
      </c>
      <c r="F540">
        <v>8.8500086079265294</v>
      </c>
    </row>
    <row r="541" spans="1:6" ht="15" customHeight="1" x14ac:dyDescent="0.25">
      <c r="A541" s="1">
        <v>42887</v>
      </c>
      <c r="B541" t="s">
        <v>9</v>
      </c>
      <c r="C541" t="s">
        <v>4</v>
      </c>
      <c r="D541">
        <v>8.82050131967463</v>
      </c>
      <c r="E541">
        <v>8.6027716332385609</v>
      </c>
      <c r="F541">
        <v>9.0437415808855004</v>
      </c>
    </row>
    <row r="542" spans="1:6" ht="15" customHeight="1" x14ac:dyDescent="0.25">
      <c r="A542" s="1">
        <v>42917</v>
      </c>
      <c r="B542" t="s">
        <v>9</v>
      </c>
      <c r="C542" t="s">
        <v>4</v>
      </c>
      <c r="D542">
        <v>8.9107633552584993</v>
      </c>
      <c r="E542">
        <v>8.6940889812045601</v>
      </c>
      <c r="F542">
        <v>9.1328376952517196</v>
      </c>
    </row>
    <row r="543" spans="1:6" ht="15" customHeight="1" x14ac:dyDescent="0.25">
      <c r="A543" s="1">
        <v>42948</v>
      </c>
      <c r="B543" t="s">
        <v>9</v>
      </c>
      <c r="C543" t="s">
        <v>4</v>
      </c>
      <c r="D543">
        <v>8.9480793949868591</v>
      </c>
      <c r="E543">
        <v>8.7343779240069797</v>
      </c>
      <c r="F543">
        <v>9.1670094373768904</v>
      </c>
    </row>
    <row r="544" spans="1:6" ht="15" customHeight="1" x14ac:dyDescent="0.25">
      <c r="A544" s="1">
        <v>42979</v>
      </c>
      <c r="B544" t="s">
        <v>9</v>
      </c>
      <c r="C544" t="s">
        <v>4</v>
      </c>
      <c r="D544">
        <v>8.9551250661870707</v>
      </c>
      <c r="E544">
        <v>8.7408312136783604</v>
      </c>
      <c r="F544">
        <v>9.1746726358881592</v>
      </c>
    </row>
    <row r="545" spans="1:6" ht="15" customHeight="1" x14ac:dyDescent="0.25">
      <c r="A545" s="1">
        <v>43009</v>
      </c>
      <c r="B545" t="s">
        <v>9</v>
      </c>
      <c r="C545" t="s">
        <v>4</v>
      </c>
      <c r="D545">
        <v>9.0046991069869495</v>
      </c>
      <c r="E545">
        <v>8.7897266048438194</v>
      </c>
      <c r="F545">
        <v>9.2249292444076296</v>
      </c>
    </row>
    <row r="546" spans="1:6" ht="15" customHeight="1" x14ac:dyDescent="0.25">
      <c r="A546" s="1">
        <v>43040</v>
      </c>
      <c r="B546" t="s">
        <v>9</v>
      </c>
      <c r="C546" t="s">
        <v>4</v>
      </c>
      <c r="D546">
        <v>8.76890312466473</v>
      </c>
      <c r="E546">
        <v>8.5553562730761694</v>
      </c>
      <c r="F546">
        <v>8.9877802344410096</v>
      </c>
    </row>
    <row r="547" spans="1:6" ht="15" customHeight="1" x14ac:dyDescent="0.25">
      <c r="A547" s="1">
        <v>43070</v>
      </c>
      <c r="B547" t="s">
        <v>9</v>
      </c>
      <c r="C547" t="s">
        <v>4</v>
      </c>
      <c r="D547">
        <v>8.6555966907219304</v>
      </c>
      <c r="E547">
        <v>8.4473734237242599</v>
      </c>
      <c r="F547">
        <v>8.8689525506267994</v>
      </c>
    </row>
    <row r="548" spans="1:6" ht="15" customHeight="1" x14ac:dyDescent="0.25">
      <c r="A548" s="1">
        <v>43101</v>
      </c>
      <c r="B548" t="s">
        <v>9</v>
      </c>
      <c r="C548" t="s">
        <v>4</v>
      </c>
      <c r="D548">
        <v>8.5579686155119106</v>
      </c>
      <c r="E548">
        <v>8.3533371842304796</v>
      </c>
      <c r="F548">
        <v>8.7676128963580897</v>
      </c>
    </row>
    <row r="549" spans="1:6" ht="15" customHeight="1" x14ac:dyDescent="0.25">
      <c r="A549" s="1">
        <v>43132</v>
      </c>
      <c r="B549" t="s">
        <v>9</v>
      </c>
      <c r="C549" t="s">
        <v>4</v>
      </c>
      <c r="D549">
        <v>8.6584997644427109</v>
      </c>
      <c r="E549">
        <v>8.4451204755508904</v>
      </c>
      <c r="F549">
        <v>8.8772704176211406</v>
      </c>
    </row>
    <row r="550" spans="1:6" ht="15" customHeight="1" x14ac:dyDescent="0.25">
      <c r="A550" s="1">
        <v>43160</v>
      </c>
      <c r="B550" t="s">
        <v>9</v>
      </c>
      <c r="C550" t="s">
        <v>4</v>
      </c>
      <c r="D550">
        <v>8.5403446924450996</v>
      </c>
      <c r="E550">
        <v>8.3093154100514308</v>
      </c>
      <c r="F550">
        <v>8.7777974317289509</v>
      </c>
    </row>
    <row r="551" spans="1:6" ht="15" customHeight="1" x14ac:dyDescent="0.25">
      <c r="A551" s="1">
        <v>43191</v>
      </c>
      <c r="B551" t="s">
        <v>9</v>
      </c>
      <c r="C551" t="s">
        <v>4</v>
      </c>
      <c r="D551">
        <v>9.1938498324878797</v>
      </c>
      <c r="E551">
        <v>8.9723754027505898</v>
      </c>
      <c r="F551">
        <v>9.4207911448315809</v>
      </c>
    </row>
    <row r="552" spans="1:6" ht="15" customHeight="1" x14ac:dyDescent="0.25">
      <c r="A552" s="1">
        <v>43221</v>
      </c>
      <c r="B552" t="s">
        <v>9</v>
      </c>
      <c r="C552" t="s">
        <v>4</v>
      </c>
      <c r="D552">
        <v>9.3751150117952609</v>
      </c>
      <c r="E552">
        <v>9.0655564107782993</v>
      </c>
      <c r="F552">
        <v>9.6952440095006693</v>
      </c>
    </row>
    <row r="553" spans="1:6" ht="15" customHeight="1" x14ac:dyDescent="0.25">
      <c r="A553" s="1">
        <v>43252</v>
      </c>
      <c r="B553" t="s">
        <v>9</v>
      </c>
      <c r="C553" t="s">
        <v>4</v>
      </c>
      <c r="D553">
        <v>9.3291097200581401</v>
      </c>
      <c r="E553">
        <v>8.9467539327200107</v>
      </c>
      <c r="F553">
        <v>9.7278061767843305</v>
      </c>
    </row>
    <row r="554" spans="1:6" ht="15" customHeight="1" x14ac:dyDescent="0.25">
      <c r="A554" s="1">
        <v>43282</v>
      </c>
      <c r="B554" t="s">
        <v>9</v>
      </c>
      <c r="C554" t="s">
        <v>4</v>
      </c>
      <c r="D554">
        <v>9.5443676111214408</v>
      </c>
      <c r="E554">
        <v>9.0646618770698293</v>
      </c>
      <c r="F554">
        <v>10.0494595751729</v>
      </c>
    </row>
    <row r="555" spans="1:6" ht="15" customHeight="1" x14ac:dyDescent="0.25">
      <c r="A555" s="1">
        <v>43313</v>
      </c>
      <c r="B555" t="s">
        <v>9</v>
      </c>
      <c r="C555" t="s">
        <v>4</v>
      </c>
      <c r="D555">
        <v>9.7063585720159704</v>
      </c>
      <c r="E555">
        <v>9.1334069887023599</v>
      </c>
      <c r="F555">
        <v>10.315252221332701</v>
      </c>
    </row>
    <row r="556" spans="1:6" ht="15" customHeight="1" x14ac:dyDescent="0.25">
      <c r="A556" s="1">
        <v>43344</v>
      </c>
      <c r="B556" t="s">
        <v>9</v>
      </c>
      <c r="C556" t="s">
        <v>4</v>
      </c>
      <c r="D556">
        <v>9.7706840429178996</v>
      </c>
      <c r="E556">
        <v>9.1066152750129206</v>
      </c>
      <c r="F556">
        <v>10.483177754140399</v>
      </c>
    </row>
    <row r="557" spans="1:6" ht="15" customHeight="1" x14ac:dyDescent="0.25">
      <c r="A557" s="1">
        <v>43374</v>
      </c>
      <c r="B557" t="s">
        <v>9</v>
      </c>
      <c r="C557" t="s">
        <v>4</v>
      </c>
      <c r="D557">
        <v>9.7833100747174804</v>
      </c>
      <c r="E557">
        <v>9.0405356822949994</v>
      </c>
      <c r="F557">
        <v>10.5871111382828</v>
      </c>
    </row>
    <row r="558" spans="1:6" ht="15" customHeight="1" x14ac:dyDescent="0.25">
      <c r="A558" s="1">
        <v>43405</v>
      </c>
      <c r="B558" t="s">
        <v>9</v>
      </c>
      <c r="C558" t="s">
        <v>4</v>
      </c>
      <c r="D558">
        <v>9.4407901641118208</v>
      </c>
      <c r="E558">
        <v>8.6443652984649901</v>
      </c>
      <c r="F558">
        <v>10.310591448352801</v>
      </c>
    </row>
    <row r="559" spans="1:6" ht="15" customHeight="1" x14ac:dyDescent="0.25">
      <c r="A559" s="1">
        <v>43435</v>
      </c>
      <c r="B559" t="s">
        <v>9</v>
      </c>
      <c r="C559" t="s">
        <v>4</v>
      </c>
      <c r="D559">
        <v>9.1740185453240208</v>
      </c>
      <c r="E559">
        <v>8.3171452264509398</v>
      </c>
      <c r="F559">
        <v>10.119171179347401</v>
      </c>
    </row>
    <row r="560" spans="1:6" ht="15" customHeight="1" x14ac:dyDescent="0.25">
      <c r="A560" s="1">
        <v>43466</v>
      </c>
      <c r="B560" t="s">
        <v>9</v>
      </c>
      <c r="C560" t="s">
        <v>4</v>
      </c>
      <c r="D560">
        <v>9.3120465358997393</v>
      </c>
      <c r="E560">
        <v>8.3493720115928998</v>
      </c>
      <c r="F560">
        <v>10.385716502553899</v>
      </c>
    </row>
    <row r="561" spans="1:6" ht="15" customHeight="1" x14ac:dyDescent="0.25">
      <c r="A561" s="1">
        <v>43497</v>
      </c>
      <c r="B561" t="s">
        <v>9</v>
      </c>
      <c r="C561" t="s">
        <v>4</v>
      </c>
      <c r="D561">
        <v>9.3877010361021807</v>
      </c>
      <c r="E561">
        <v>8.3272042839453704</v>
      </c>
      <c r="F561">
        <v>10.583255524683601</v>
      </c>
    </row>
    <row r="562" spans="1:6" ht="15" customHeight="1" x14ac:dyDescent="0.25">
      <c r="A562" s="1">
        <v>43525</v>
      </c>
      <c r="B562" t="s">
        <v>9</v>
      </c>
      <c r="C562" t="s">
        <v>4</v>
      </c>
      <c r="D562">
        <v>9.2668004179261008</v>
      </c>
      <c r="E562">
        <v>8.1298676100912104</v>
      </c>
      <c r="F562">
        <v>10.5627291985769</v>
      </c>
    </row>
    <row r="563" spans="1:6" ht="15" customHeight="1" x14ac:dyDescent="0.25">
      <c r="A563" s="1">
        <v>43556</v>
      </c>
      <c r="B563" t="s">
        <v>9</v>
      </c>
      <c r="C563" t="s">
        <v>4</v>
      </c>
      <c r="D563">
        <v>9.8653427822170308</v>
      </c>
      <c r="E563">
        <v>8.5353451445830402</v>
      </c>
      <c r="F563">
        <v>11.4025837926904</v>
      </c>
    </row>
    <row r="564" spans="1:6" ht="15" customHeight="1" x14ac:dyDescent="0.25">
      <c r="A564" s="1">
        <v>43586</v>
      </c>
      <c r="B564" t="s">
        <v>9</v>
      </c>
      <c r="C564" t="s">
        <v>4</v>
      </c>
      <c r="D564">
        <v>10.019257537383499</v>
      </c>
      <c r="E564">
        <v>8.5507959056751996</v>
      </c>
      <c r="F564">
        <v>11.7399038297464</v>
      </c>
    </row>
    <row r="565" spans="1:6" ht="15" customHeight="1" x14ac:dyDescent="0.25">
      <c r="A565" s="1">
        <v>43617</v>
      </c>
      <c r="B565" t="s">
        <v>9</v>
      </c>
      <c r="C565" t="s">
        <v>4</v>
      </c>
      <c r="D565">
        <v>9.9292669022408493</v>
      </c>
      <c r="E565">
        <v>8.3613925335116797</v>
      </c>
      <c r="F565">
        <v>11.7911389545216</v>
      </c>
    </row>
    <row r="566" spans="1:6" ht="15" customHeight="1" x14ac:dyDescent="0.25">
      <c r="A566" s="1">
        <v>43647</v>
      </c>
      <c r="B566" t="s">
        <v>9</v>
      </c>
      <c r="C566" t="s">
        <v>4</v>
      </c>
      <c r="D566">
        <v>10.237863278374601</v>
      </c>
      <c r="E566">
        <v>8.4965812943566696</v>
      </c>
      <c r="F566">
        <v>12.336002078425199</v>
      </c>
    </row>
    <row r="567" spans="1:6" ht="15" customHeight="1" x14ac:dyDescent="0.25">
      <c r="A567" s="1">
        <v>43678</v>
      </c>
      <c r="B567" t="s">
        <v>9</v>
      </c>
      <c r="C567" t="s">
        <v>4</v>
      </c>
      <c r="D567">
        <v>10.496713784870799</v>
      </c>
      <c r="E567">
        <v>8.5868732096902995</v>
      </c>
      <c r="F567">
        <v>12.831329587719599</v>
      </c>
    </row>
    <row r="568" spans="1:6" ht="15" customHeight="1" x14ac:dyDescent="0.25">
      <c r="A568" s="1">
        <v>43709</v>
      </c>
      <c r="B568" t="s">
        <v>9</v>
      </c>
      <c r="C568" t="s">
        <v>4</v>
      </c>
      <c r="D568">
        <v>10.6515460612162</v>
      </c>
      <c r="E568">
        <v>8.5869586895255807</v>
      </c>
      <c r="F568">
        <v>13.212528160011299</v>
      </c>
    </row>
    <row r="569" spans="1:6" ht="15" customHeight="1" x14ac:dyDescent="0.25">
      <c r="A569" s="1">
        <v>43739</v>
      </c>
      <c r="B569" t="s">
        <v>9</v>
      </c>
      <c r="C569" t="s">
        <v>4</v>
      </c>
      <c r="D569">
        <v>10.69479387524</v>
      </c>
      <c r="E569">
        <v>8.50305823054466</v>
      </c>
      <c r="F569">
        <v>13.451468040404601</v>
      </c>
    </row>
    <row r="570" spans="1:6" ht="15" customHeight="1" x14ac:dyDescent="0.25">
      <c r="A570" s="1">
        <v>43770</v>
      </c>
      <c r="B570" t="s">
        <v>9</v>
      </c>
      <c r="C570" t="s">
        <v>4</v>
      </c>
      <c r="D570">
        <v>10.347632736805201</v>
      </c>
      <c r="E570">
        <v>8.1126646706242997</v>
      </c>
      <c r="F570">
        <v>13.1983149314075</v>
      </c>
    </row>
    <row r="571" spans="1:6" ht="15" customHeight="1" x14ac:dyDescent="0.25">
      <c r="A571" s="1">
        <v>43800</v>
      </c>
      <c r="B571" t="s">
        <v>9</v>
      </c>
      <c r="C571" t="s">
        <v>4</v>
      </c>
      <c r="D571">
        <v>10.0830331521527</v>
      </c>
      <c r="E571">
        <v>7.7902747645897801</v>
      </c>
      <c r="F571">
        <v>13.050574032322301</v>
      </c>
    </row>
    <row r="572" spans="1:6" ht="15" customHeight="1" x14ac:dyDescent="0.25">
      <c r="A572" s="1">
        <v>43831</v>
      </c>
      <c r="B572" t="s">
        <v>9</v>
      </c>
      <c r="C572" t="s">
        <v>4</v>
      </c>
      <c r="D572">
        <v>10.213712390647901</v>
      </c>
      <c r="E572">
        <v>7.7705718335520197</v>
      </c>
      <c r="F572">
        <v>13.4249992192901</v>
      </c>
    </row>
    <row r="573" spans="1:6" ht="15" customHeight="1" x14ac:dyDescent="0.25">
      <c r="A573" s="1">
        <v>43862</v>
      </c>
      <c r="B573" t="s">
        <v>9</v>
      </c>
      <c r="C573" t="s">
        <v>4</v>
      </c>
      <c r="D573">
        <v>10.277631577054301</v>
      </c>
      <c r="E573">
        <v>7.7031632627848303</v>
      </c>
      <c r="F573">
        <v>13.712510981556999</v>
      </c>
    </row>
    <row r="574" spans="1:6" ht="15" customHeight="1" x14ac:dyDescent="0.25">
      <c r="A574" s="1">
        <v>43891</v>
      </c>
      <c r="B574" t="s">
        <v>9</v>
      </c>
      <c r="C574" t="s">
        <v>4</v>
      </c>
      <c r="D574">
        <v>10.1269420828355</v>
      </c>
      <c r="E574">
        <v>7.4755477519334503</v>
      </c>
      <c r="F574">
        <v>13.718721269967199</v>
      </c>
    </row>
    <row r="575" spans="1:6" ht="15" customHeight="1" x14ac:dyDescent="0.25">
      <c r="A575" s="1">
        <v>43922</v>
      </c>
      <c r="B575" t="s">
        <v>9</v>
      </c>
      <c r="C575" t="s">
        <v>4</v>
      </c>
      <c r="D575">
        <v>10.761683725872899</v>
      </c>
      <c r="E575">
        <v>7.8074506449160097</v>
      </c>
      <c r="F575">
        <v>14.8337584037283</v>
      </c>
    </row>
    <row r="576" spans="1:6" ht="15" customHeight="1" x14ac:dyDescent="0.25">
      <c r="A576" s="1">
        <v>43952</v>
      </c>
      <c r="B576" t="s">
        <v>9</v>
      </c>
      <c r="C576" t="s">
        <v>4</v>
      </c>
      <c r="D576">
        <v>10.9130632675865</v>
      </c>
      <c r="E576">
        <v>7.7810562222871402</v>
      </c>
      <c r="F576">
        <v>15.3057562469763</v>
      </c>
    </row>
    <row r="577" spans="1:6" ht="15" customHeight="1" x14ac:dyDescent="0.25">
      <c r="A577" s="1">
        <v>43983</v>
      </c>
      <c r="B577" t="s">
        <v>9</v>
      </c>
      <c r="C577" t="s">
        <v>4</v>
      </c>
      <c r="D577">
        <v>10.7956263785826</v>
      </c>
      <c r="E577">
        <v>7.5680220551195898</v>
      </c>
      <c r="F577">
        <v>15.399736953344201</v>
      </c>
    </row>
    <row r="578" spans="1:6" ht="15" customHeight="1" x14ac:dyDescent="0.25">
      <c r="A578" s="1">
        <v>44013</v>
      </c>
      <c r="B578" t="s">
        <v>9</v>
      </c>
      <c r="C578" t="s">
        <v>4</v>
      </c>
      <c r="D578">
        <v>11.112062409821</v>
      </c>
      <c r="E578">
        <v>7.6507341144688699</v>
      </c>
      <c r="F578">
        <v>16.1393572371361</v>
      </c>
    </row>
    <row r="579" spans="1:6" ht="15" customHeight="1" x14ac:dyDescent="0.25">
      <c r="A579" s="1">
        <v>44044</v>
      </c>
      <c r="B579" t="s">
        <v>9</v>
      </c>
      <c r="C579" t="s">
        <v>4</v>
      </c>
      <c r="D579">
        <v>11.370245104317201</v>
      </c>
      <c r="E579">
        <v>7.6907026482150096</v>
      </c>
      <c r="F579">
        <v>16.810229135858801</v>
      </c>
    </row>
    <row r="580" spans="1:6" ht="15" customHeight="1" x14ac:dyDescent="0.25">
      <c r="A580" s="1">
        <v>44075</v>
      </c>
      <c r="B580" t="s">
        <v>9</v>
      </c>
      <c r="C580" t="s">
        <v>4</v>
      </c>
      <c r="D580">
        <v>11.517246155518301</v>
      </c>
      <c r="E580">
        <v>7.6512134085078696</v>
      </c>
      <c r="F580">
        <v>17.3367218929356</v>
      </c>
    </row>
    <row r="581" spans="1:6" ht="15" customHeight="1" x14ac:dyDescent="0.25">
      <c r="A581" s="1">
        <v>44105</v>
      </c>
      <c r="B581" t="s">
        <v>9</v>
      </c>
      <c r="C581" t="s">
        <v>4</v>
      </c>
      <c r="D581">
        <v>11.685273705974</v>
      </c>
      <c r="E581">
        <v>7.6255793728137302</v>
      </c>
      <c r="F581">
        <v>17.9062619255307</v>
      </c>
    </row>
    <row r="582" spans="1:6" ht="15" customHeight="1" x14ac:dyDescent="0.25">
      <c r="A582" s="1">
        <v>44136</v>
      </c>
      <c r="B582" t="s">
        <v>9</v>
      </c>
      <c r="C582" t="s">
        <v>4</v>
      </c>
      <c r="D582">
        <v>11.428260300770599</v>
      </c>
      <c r="E582">
        <v>7.3260951584694904</v>
      </c>
      <c r="F582">
        <v>17.827386988166701</v>
      </c>
    </row>
    <row r="583" spans="1:6" ht="15" customHeight="1" x14ac:dyDescent="0.25">
      <c r="A583" s="1">
        <v>44166</v>
      </c>
      <c r="B583" t="s">
        <v>9</v>
      </c>
      <c r="C583" t="s">
        <v>4</v>
      </c>
      <c r="D583">
        <v>11.252804770345801</v>
      </c>
      <c r="E583">
        <v>7.0814129985437502</v>
      </c>
      <c r="F583">
        <v>17.881405197741898</v>
      </c>
    </row>
    <row r="584" spans="1:6" ht="15" customHeight="1" x14ac:dyDescent="0.25">
      <c r="A584" s="1">
        <v>41821</v>
      </c>
      <c r="B584" t="s">
        <v>9</v>
      </c>
      <c r="C584" t="s">
        <v>6</v>
      </c>
      <c r="D584">
        <v>9.6700353324201007</v>
      </c>
      <c r="E584">
        <v>9.4112283872492597</v>
      </c>
      <c r="F584">
        <v>9.9359594181078492</v>
      </c>
    </row>
    <row r="585" spans="1:6" ht="15" customHeight="1" x14ac:dyDescent="0.25">
      <c r="A585" s="1">
        <v>41852</v>
      </c>
      <c r="B585" t="s">
        <v>9</v>
      </c>
      <c r="C585" t="s">
        <v>6</v>
      </c>
      <c r="D585">
        <v>9.6055742587913695</v>
      </c>
      <c r="E585">
        <v>9.3742963878354697</v>
      </c>
      <c r="F585">
        <v>9.8425580997081994</v>
      </c>
    </row>
    <row r="586" spans="1:6" ht="15" customHeight="1" x14ac:dyDescent="0.25">
      <c r="A586" s="1">
        <v>41883</v>
      </c>
      <c r="B586" t="s">
        <v>9</v>
      </c>
      <c r="C586" t="s">
        <v>6</v>
      </c>
      <c r="D586">
        <v>9.2100972616207404</v>
      </c>
      <c r="E586">
        <v>8.9883740829678391</v>
      </c>
      <c r="F586">
        <v>9.4372898574894997</v>
      </c>
    </row>
    <row r="587" spans="1:6" ht="15" customHeight="1" x14ac:dyDescent="0.25">
      <c r="A587" s="1">
        <v>41913</v>
      </c>
      <c r="B587" t="s">
        <v>9</v>
      </c>
      <c r="C587" t="s">
        <v>6</v>
      </c>
      <c r="D587">
        <v>9.2006459424341092</v>
      </c>
      <c r="E587">
        <v>8.9803595849070899</v>
      </c>
      <c r="F587">
        <v>9.4263358786100309</v>
      </c>
    </row>
    <row r="588" spans="1:6" ht="15" customHeight="1" x14ac:dyDescent="0.25">
      <c r="A588" s="1">
        <v>41944</v>
      </c>
      <c r="B588" t="s">
        <v>9</v>
      </c>
      <c r="C588" t="s">
        <v>6</v>
      </c>
      <c r="D588">
        <v>8.9063161283440504</v>
      </c>
      <c r="E588">
        <v>8.6912454716308396</v>
      </c>
      <c r="F588">
        <v>9.1267088516735999</v>
      </c>
    </row>
    <row r="589" spans="1:6" ht="15" customHeight="1" x14ac:dyDescent="0.25">
      <c r="A589" s="1">
        <v>41974</v>
      </c>
      <c r="B589" t="s">
        <v>9</v>
      </c>
      <c r="C589" t="s">
        <v>6</v>
      </c>
      <c r="D589">
        <v>8.7236828966842701</v>
      </c>
      <c r="E589">
        <v>8.5142290089846</v>
      </c>
      <c r="F589">
        <v>8.9382894448334405</v>
      </c>
    </row>
    <row r="590" spans="1:6" ht="15" customHeight="1" x14ac:dyDescent="0.25">
      <c r="A590" s="1">
        <v>42005</v>
      </c>
      <c r="B590" t="s">
        <v>9</v>
      </c>
      <c r="C590" t="s">
        <v>6</v>
      </c>
      <c r="D590">
        <v>8.5383268218830608</v>
      </c>
      <c r="E590">
        <v>8.3290666840716998</v>
      </c>
      <c r="F590">
        <v>8.7528444281404898</v>
      </c>
    </row>
    <row r="591" spans="1:6" ht="15" customHeight="1" x14ac:dyDescent="0.25">
      <c r="A591" s="1">
        <v>42036</v>
      </c>
      <c r="B591" t="s">
        <v>9</v>
      </c>
      <c r="C591" t="s">
        <v>6</v>
      </c>
      <c r="D591">
        <v>8.4060816745365194</v>
      </c>
      <c r="E591">
        <v>8.2040989831993407</v>
      </c>
      <c r="F591">
        <v>8.6130371249400408</v>
      </c>
    </row>
    <row r="592" spans="1:6" ht="15" customHeight="1" x14ac:dyDescent="0.25">
      <c r="A592" s="1">
        <v>42064</v>
      </c>
      <c r="B592" t="s">
        <v>9</v>
      </c>
      <c r="C592" t="s">
        <v>6</v>
      </c>
      <c r="D592">
        <v>7.8384423495944002</v>
      </c>
      <c r="E592">
        <v>7.64699376278325</v>
      </c>
      <c r="F592">
        <v>8.0346840044436494</v>
      </c>
    </row>
    <row r="593" spans="1:6" ht="15" customHeight="1" x14ac:dyDescent="0.25">
      <c r="A593" s="1">
        <v>42095</v>
      </c>
      <c r="B593" t="s">
        <v>9</v>
      </c>
      <c r="C593" t="s">
        <v>6</v>
      </c>
      <c r="D593">
        <v>7.91525609561163</v>
      </c>
      <c r="E593">
        <v>7.7202436639008196</v>
      </c>
      <c r="F593">
        <v>8.1151945180265503</v>
      </c>
    </row>
    <row r="594" spans="1:6" ht="15" customHeight="1" x14ac:dyDescent="0.25">
      <c r="A594" s="1">
        <v>42125</v>
      </c>
      <c r="B594" t="s">
        <v>9</v>
      </c>
      <c r="C594" t="s">
        <v>6</v>
      </c>
      <c r="D594">
        <v>7.8051724913306497</v>
      </c>
      <c r="E594">
        <v>7.6076903320106801</v>
      </c>
      <c r="F594">
        <v>8.0077809375455402</v>
      </c>
    </row>
    <row r="595" spans="1:6" ht="15" customHeight="1" x14ac:dyDescent="0.25">
      <c r="A595" s="1">
        <v>42156</v>
      </c>
      <c r="B595" t="s">
        <v>9</v>
      </c>
      <c r="C595" t="s">
        <v>6</v>
      </c>
      <c r="D595">
        <v>7.5127803086410196</v>
      </c>
      <c r="E595">
        <v>7.3282645478054498</v>
      </c>
      <c r="F595">
        <v>7.7019419260466702</v>
      </c>
    </row>
    <row r="596" spans="1:6" ht="15" customHeight="1" x14ac:dyDescent="0.25">
      <c r="A596" s="1">
        <v>42186</v>
      </c>
      <c r="B596" t="s">
        <v>9</v>
      </c>
      <c r="C596" t="s">
        <v>6</v>
      </c>
      <c r="D596">
        <v>7.3471997759128298</v>
      </c>
      <c r="E596">
        <v>7.1660117235818301</v>
      </c>
      <c r="F596">
        <v>7.5329690529995101</v>
      </c>
    </row>
    <row r="597" spans="1:6" ht="15" customHeight="1" x14ac:dyDescent="0.25">
      <c r="A597" s="1">
        <v>42217</v>
      </c>
      <c r="B597" t="s">
        <v>9</v>
      </c>
      <c r="C597" t="s">
        <v>6</v>
      </c>
      <c r="D597">
        <v>7.3421423641609103</v>
      </c>
      <c r="E597">
        <v>7.1654720340470002</v>
      </c>
      <c r="F597">
        <v>7.5231686397581399</v>
      </c>
    </row>
    <row r="598" spans="1:6" ht="15" customHeight="1" x14ac:dyDescent="0.25">
      <c r="A598" s="1">
        <v>42248</v>
      </c>
      <c r="B598" t="s">
        <v>9</v>
      </c>
      <c r="C598" t="s">
        <v>6</v>
      </c>
      <c r="D598">
        <v>7.4154240750303497</v>
      </c>
      <c r="E598">
        <v>7.2324107040709196</v>
      </c>
      <c r="F598">
        <v>7.6030685289468201</v>
      </c>
    </row>
    <row r="599" spans="1:6" ht="15" customHeight="1" x14ac:dyDescent="0.25">
      <c r="A599" s="1">
        <v>42278</v>
      </c>
      <c r="B599" t="s">
        <v>9</v>
      </c>
      <c r="C599" t="s">
        <v>6</v>
      </c>
      <c r="D599">
        <v>7.3961666125130199</v>
      </c>
      <c r="E599">
        <v>7.2135349135525502</v>
      </c>
      <c r="F599">
        <v>7.5834221661944996</v>
      </c>
    </row>
    <row r="600" spans="1:6" ht="15" customHeight="1" x14ac:dyDescent="0.25">
      <c r="A600" s="1">
        <v>42309</v>
      </c>
      <c r="B600" t="s">
        <v>9</v>
      </c>
      <c r="C600" t="s">
        <v>6</v>
      </c>
      <c r="D600">
        <v>7.34130843720631</v>
      </c>
      <c r="E600">
        <v>7.1568299838938998</v>
      </c>
      <c r="F600">
        <v>7.5305421103315604</v>
      </c>
    </row>
    <row r="601" spans="1:6" ht="15" customHeight="1" x14ac:dyDescent="0.25">
      <c r="A601" s="1">
        <v>42339</v>
      </c>
      <c r="B601" t="s">
        <v>9</v>
      </c>
      <c r="C601" t="s">
        <v>6</v>
      </c>
      <c r="D601">
        <v>6.9958397155189997</v>
      </c>
      <c r="E601">
        <v>6.8287349803753701</v>
      </c>
      <c r="F601">
        <v>7.1670336403277304</v>
      </c>
    </row>
    <row r="602" spans="1:6" ht="15" customHeight="1" x14ac:dyDescent="0.25">
      <c r="A602" s="1">
        <v>42370</v>
      </c>
      <c r="B602" t="s">
        <v>9</v>
      </c>
      <c r="C602" t="s">
        <v>6</v>
      </c>
      <c r="D602">
        <v>6.9489874118610997</v>
      </c>
      <c r="E602">
        <v>6.7818597407345704</v>
      </c>
      <c r="F602">
        <v>7.1202336669047304</v>
      </c>
    </row>
    <row r="603" spans="1:6" ht="15" customHeight="1" x14ac:dyDescent="0.25">
      <c r="A603" s="1">
        <v>42401</v>
      </c>
      <c r="B603" t="s">
        <v>9</v>
      </c>
      <c r="C603" t="s">
        <v>6</v>
      </c>
      <c r="D603">
        <v>7.0254907299904801</v>
      </c>
      <c r="E603">
        <v>6.8496490204855398</v>
      </c>
      <c r="F603">
        <v>7.2058465841923498</v>
      </c>
    </row>
    <row r="604" spans="1:6" ht="15" customHeight="1" x14ac:dyDescent="0.25">
      <c r="A604" s="1">
        <v>42430</v>
      </c>
      <c r="B604" t="s">
        <v>9</v>
      </c>
      <c r="C604" t="s">
        <v>6</v>
      </c>
      <c r="D604">
        <v>7.1852686334854399</v>
      </c>
      <c r="E604">
        <v>7.0080530703789901</v>
      </c>
      <c r="F604">
        <v>7.3669655205047899</v>
      </c>
    </row>
    <row r="605" spans="1:6" ht="15" customHeight="1" x14ac:dyDescent="0.25">
      <c r="A605" s="1">
        <v>42461</v>
      </c>
      <c r="B605" t="s">
        <v>9</v>
      </c>
      <c r="C605" t="s">
        <v>6</v>
      </c>
      <c r="D605">
        <v>7.9168229549366798</v>
      </c>
      <c r="E605">
        <v>7.7197107836453602</v>
      </c>
      <c r="F605">
        <v>8.1189681137530592</v>
      </c>
    </row>
    <row r="606" spans="1:6" ht="15" customHeight="1" x14ac:dyDescent="0.25">
      <c r="A606" s="1">
        <v>42491</v>
      </c>
      <c r="B606" t="s">
        <v>9</v>
      </c>
      <c r="C606" t="s">
        <v>6</v>
      </c>
      <c r="D606">
        <v>7.8867360529248902</v>
      </c>
      <c r="E606">
        <v>7.6918181266841597</v>
      </c>
      <c r="F606">
        <v>8.0865933832628407</v>
      </c>
    </row>
    <row r="607" spans="1:6" ht="15" customHeight="1" x14ac:dyDescent="0.25">
      <c r="A607" s="1">
        <v>42522</v>
      </c>
      <c r="B607" t="s">
        <v>9</v>
      </c>
      <c r="C607" t="s">
        <v>6</v>
      </c>
      <c r="D607">
        <v>7.83231324015195</v>
      </c>
      <c r="E607">
        <v>7.6396140734095503</v>
      </c>
      <c r="F607">
        <v>8.0298729886601894</v>
      </c>
    </row>
    <row r="608" spans="1:6" ht="15" customHeight="1" x14ac:dyDescent="0.25">
      <c r="A608" s="1">
        <v>42552</v>
      </c>
      <c r="B608" t="s">
        <v>9</v>
      </c>
      <c r="C608" t="s">
        <v>6</v>
      </c>
      <c r="D608">
        <v>8.0046476021362594</v>
      </c>
      <c r="E608">
        <v>7.8101735580740703</v>
      </c>
      <c r="F608">
        <v>8.2039640678850905</v>
      </c>
    </row>
    <row r="609" spans="1:6" ht="15" customHeight="1" x14ac:dyDescent="0.25">
      <c r="A609" s="1">
        <v>42583</v>
      </c>
      <c r="B609" t="s">
        <v>9</v>
      </c>
      <c r="C609" t="s">
        <v>6</v>
      </c>
      <c r="D609">
        <v>8.1600116696239304</v>
      </c>
      <c r="E609">
        <v>7.9646472763971197</v>
      </c>
      <c r="F609">
        <v>8.3601681452639696</v>
      </c>
    </row>
    <row r="610" spans="1:6" ht="15" customHeight="1" x14ac:dyDescent="0.25">
      <c r="A610" s="1">
        <v>42614</v>
      </c>
      <c r="B610" t="s">
        <v>9</v>
      </c>
      <c r="C610" t="s">
        <v>6</v>
      </c>
      <c r="D610">
        <v>8.2348154320775198</v>
      </c>
      <c r="E610">
        <v>8.0344210097727409</v>
      </c>
      <c r="F610">
        <v>8.4402080894065801</v>
      </c>
    </row>
    <row r="611" spans="1:6" ht="15" customHeight="1" x14ac:dyDescent="0.25">
      <c r="A611" s="1">
        <v>42644</v>
      </c>
      <c r="B611" t="s">
        <v>9</v>
      </c>
      <c r="C611" t="s">
        <v>6</v>
      </c>
      <c r="D611">
        <v>8.5259392135029994</v>
      </c>
      <c r="E611">
        <v>8.3172172921535594</v>
      </c>
      <c r="F611">
        <v>8.7398990454325691</v>
      </c>
    </row>
    <row r="612" spans="1:6" ht="15" customHeight="1" x14ac:dyDescent="0.25">
      <c r="A612" s="1">
        <v>42675</v>
      </c>
      <c r="B612" t="s">
        <v>9</v>
      </c>
      <c r="C612" t="s">
        <v>6</v>
      </c>
      <c r="D612">
        <v>8.3671852063241694</v>
      </c>
      <c r="E612">
        <v>8.1596170837630808</v>
      </c>
      <c r="F612">
        <v>8.58003354302536</v>
      </c>
    </row>
    <row r="613" spans="1:6" ht="15" customHeight="1" x14ac:dyDescent="0.25">
      <c r="A613" s="1">
        <v>42705</v>
      </c>
      <c r="B613" t="s">
        <v>9</v>
      </c>
      <c r="C613" t="s">
        <v>6</v>
      </c>
      <c r="D613">
        <v>8.2532054208535008</v>
      </c>
      <c r="E613">
        <v>8.0560028771063994</v>
      </c>
      <c r="F613">
        <v>8.4552352770846593</v>
      </c>
    </row>
    <row r="614" spans="1:6" ht="15" customHeight="1" x14ac:dyDescent="0.25">
      <c r="A614" s="1">
        <v>42736</v>
      </c>
      <c r="B614" t="s">
        <v>9</v>
      </c>
      <c r="C614" t="s">
        <v>6</v>
      </c>
      <c r="D614">
        <v>8.2161169497650803</v>
      </c>
      <c r="E614">
        <v>8.01428485677007</v>
      </c>
      <c r="F614">
        <v>8.4230319908322802</v>
      </c>
    </row>
    <row r="615" spans="1:6" ht="15" customHeight="1" x14ac:dyDescent="0.25">
      <c r="A615" s="1">
        <v>42767</v>
      </c>
      <c r="B615" t="s">
        <v>9</v>
      </c>
      <c r="C615" t="s">
        <v>6</v>
      </c>
      <c r="D615">
        <v>8.3687067976482297</v>
      </c>
      <c r="E615">
        <v>8.1638410887450199</v>
      </c>
      <c r="F615">
        <v>8.5787134638812397</v>
      </c>
    </row>
    <row r="616" spans="1:6" ht="15" customHeight="1" x14ac:dyDescent="0.25">
      <c r="A616" s="1">
        <v>42795</v>
      </c>
      <c r="B616" t="s">
        <v>9</v>
      </c>
      <c r="C616" t="s">
        <v>6</v>
      </c>
      <c r="D616">
        <v>8.2889079349128902</v>
      </c>
      <c r="E616">
        <v>8.0845152278366399</v>
      </c>
      <c r="F616">
        <v>8.4984680982346408</v>
      </c>
    </row>
    <row r="617" spans="1:6" ht="15" customHeight="1" x14ac:dyDescent="0.25">
      <c r="A617" s="1">
        <v>42826</v>
      </c>
      <c r="B617" t="s">
        <v>9</v>
      </c>
      <c r="C617" t="s">
        <v>6</v>
      </c>
      <c r="D617">
        <v>8.5536849327226694</v>
      </c>
      <c r="E617">
        <v>8.3415489818121404</v>
      </c>
      <c r="F617">
        <v>8.77121576434023</v>
      </c>
    </row>
    <row r="618" spans="1:6" ht="15" customHeight="1" x14ac:dyDescent="0.25">
      <c r="A618" s="1">
        <v>42856</v>
      </c>
      <c r="B618" t="s">
        <v>9</v>
      </c>
      <c r="C618" t="s">
        <v>6</v>
      </c>
      <c r="D618">
        <v>8.6305976523524492</v>
      </c>
      <c r="E618">
        <v>8.4166263714226304</v>
      </c>
      <c r="F618">
        <v>8.8500086079265294</v>
      </c>
    </row>
    <row r="619" spans="1:6" ht="15" customHeight="1" x14ac:dyDescent="0.25">
      <c r="A619" s="1">
        <v>42887</v>
      </c>
      <c r="B619" t="s">
        <v>9</v>
      </c>
      <c r="C619" t="s">
        <v>6</v>
      </c>
      <c r="D619">
        <v>8.82050131967463</v>
      </c>
      <c r="E619">
        <v>8.6027716332385609</v>
      </c>
      <c r="F619">
        <v>9.0437415808855004</v>
      </c>
    </row>
    <row r="620" spans="1:6" ht="15" customHeight="1" x14ac:dyDescent="0.25">
      <c r="A620" s="1">
        <v>42917</v>
      </c>
      <c r="B620" t="s">
        <v>9</v>
      </c>
      <c r="C620" t="s">
        <v>6</v>
      </c>
      <c r="D620">
        <v>8.9107633552584993</v>
      </c>
      <c r="E620">
        <v>8.6940889812045601</v>
      </c>
      <c r="F620">
        <v>9.1328376952517196</v>
      </c>
    </row>
    <row r="621" spans="1:6" ht="15" customHeight="1" x14ac:dyDescent="0.25">
      <c r="A621" s="1">
        <v>42948</v>
      </c>
      <c r="B621" t="s">
        <v>9</v>
      </c>
      <c r="C621" t="s">
        <v>6</v>
      </c>
      <c r="D621">
        <v>8.9480793949868591</v>
      </c>
      <c r="E621">
        <v>8.7343779240069797</v>
      </c>
      <c r="F621">
        <v>9.1670094373768904</v>
      </c>
    </row>
    <row r="622" spans="1:6" ht="15" customHeight="1" x14ac:dyDescent="0.25">
      <c r="A622" s="1">
        <v>42979</v>
      </c>
      <c r="B622" t="s">
        <v>9</v>
      </c>
      <c r="C622" t="s">
        <v>6</v>
      </c>
      <c r="D622">
        <v>8.9551250661870707</v>
      </c>
      <c r="E622">
        <v>8.7408312136783604</v>
      </c>
      <c r="F622">
        <v>9.1746726358881592</v>
      </c>
    </row>
    <row r="623" spans="1:6" ht="15" customHeight="1" x14ac:dyDescent="0.25">
      <c r="A623" s="1">
        <v>43009</v>
      </c>
      <c r="B623" t="s">
        <v>9</v>
      </c>
      <c r="C623" t="s">
        <v>6</v>
      </c>
      <c r="D623">
        <v>9.0046991069869495</v>
      </c>
      <c r="E623">
        <v>8.7897266048438194</v>
      </c>
      <c r="F623">
        <v>9.2249292444076296</v>
      </c>
    </row>
    <row r="624" spans="1:6" ht="15" customHeight="1" x14ac:dyDescent="0.25">
      <c r="A624" s="1">
        <v>43040</v>
      </c>
      <c r="B624" t="s">
        <v>9</v>
      </c>
      <c r="C624" t="s">
        <v>6</v>
      </c>
      <c r="D624">
        <v>8.76890312466473</v>
      </c>
      <c r="E624">
        <v>8.5553562730761694</v>
      </c>
      <c r="F624">
        <v>8.9877802344410096</v>
      </c>
    </row>
    <row r="625" spans="1:6" ht="15" customHeight="1" x14ac:dyDescent="0.25">
      <c r="A625" s="1">
        <v>43070</v>
      </c>
      <c r="B625" t="s">
        <v>9</v>
      </c>
      <c r="C625" t="s">
        <v>6</v>
      </c>
      <c r="D625">
        <v>8.6555966907219304</v>
      </c>
      <c r="E625">
        <v>8.4473734237242599</v>
      </c>
      <c r="F625">
        <v>8.8689525506267994</v>
      </c>
    </row>
    <row r="626" spans="1:6" ht="15" customHeight="1" x14ac:dyDescent="0.25">
      <c r="A626" s="1">
        <v>43101</v>
      </c>
      <c r="B626" t="s">
        <v>9</v>
      </c>
      <c r="C626" t="s">
        <v>6</v>
      </c>
      <c r="D626">
        <v>8.5579686155119106</v>
      </c>
      <c r="E626">
        <v>8.3533371842304796</v>
      </c>
      <c r="F626">
        <v>8.7676128963580897</v>
      </c>
    </row>
    <row r="627" spans="1:6" ht="15" customHeight="1" x14ac:dyDescent="0.25">
      <c r="A627" s="1">
        <v>43132</v>
      </c>
      <c r="B627" t="s">
        <v>9</v>
      </c>
      <c r="C627" t="s">
        <v>6</v>
      </c>
      <c r="D627">
        <v>8.6584997644427109</v>
      </c>
      <c r="E627">
        <v>8.4451204755508904</v>
      </c>
      <c r="F627">
        <v>8.8772704176211406</v>
      </c>
    </row>
    <row r="628" spans="1:6" ht="15" customHeight="1" x14ac:dyDescent="0.25">
      <c r="A628" s="1">
        <v>43160</v>
      </c>
      <c r="B628" t="s">
        <v>9</v>
      </c>
      <c r="C628" t="s">
        <v>6</v>
      </c>
      <c r="D628">
        <v>8.5403446924450996</v>
      </c>
      <c r="E628">
        <v>8.3093154100514308</v>
      </c>
      <c r="F628">
        <v>8.7777974317289509</v>
      </c>
    </row>
    <row r="629" spans="1:6" ht="15" customHeight="1" x14ac:dyDescent="0.25">
      <c r="A629" s="1">
        <v>43191</v>
      </c>
      <c r="B629" t="s">
        <v>9</v>
      </c>
      <c r="C629" t="s">
        <v>6</v>
      </c>
      <c r="D629">
        <v>9.0963885550765706</v>
      </c>
      <c r="E629">
        <v>8.8722085373068005</v>
      </c>
      <c r="F629">
        <v>9.3262330790576193</v>
      </c>
    </row>
    <row r="630" spans="1:6" ht="15" customHeight="1" x14ac:dyDescent="0.25">
      <c r="A630" s="1">
        <v>43221</v>
      </c>
      <c r="B630" t="s">
        <v>9</v>
      </c>
      <c r="C630" t="s">
        <v>6</v>
      </c>
      <c r="D630">
        <v>9.18093074089429</v>
      </c>
      <c r="E630">
        <v>8.8727375844419694</v>
      </c>
      <c r="F630">
        <v>9.4998289385788208</v>
      </c>
    </row>
    <row r="631" spans="1:6" ht="15" customHeight="1" x14ac:dyDescent="0.25">
      <c r="A631" s="1">
        <v>43252</v>
      </c>
      <c r="B631" t="s">
        <v>9</v>
      </c>
      <c r="C631" t="s">
        <v>6</v>
      </c>
      <c r="D631">
        <v>9.0390316057159392</v>
      </c>
      <c r="E631">
        <v>8.6419396748088797</v>
      </c>
      <c r="F631">
        <v>9.4543696720422492</v>
      </c>
    </row>
    <row r="632" spans="1:6" ht="15" customHeight="1" x14ac:dyDescent="0.25">
      <c r="A632" s="1">
        <v>43282</v>
      </c>
      <c r="B632" t="s">
        <v>9</v>
      </c>
      <c r="C632" t="s">
        <v>6</v>
      </c>
      <c r="D632">
        <v>9.1794280704558098</v>
      </c>
      <c r="E632">
        <v>8.7047789353415403</v>
      </c>
      <c r="F632">
        <v>9.6799585982094705</v>
      </c>
    </row>
    <row r="633" spans="1:6" ht="15" customHeight="1" x14ac:dyDescent="0.25">
      <c r="A633" s="1">
        <v>43313</v>
      </c>
      <c r="B633" t="s">
        <v>9</v>
      </c>
      <c r="C633" t="s">
        <v>6</v>
      </c>
      <c r="D633">
        <v>9.2639062113124506</v>
      </c>
      <c r="E633">
        <v>8.7044390651080406</v>
      </c>
      <c r="F633">
        <v>9.8593324222355392</v>
      </c>
    </row>
    <row r="634" spans="1:6" ht="15" customHeight="1" x14ac:dyDescent="0.25">
      <c r="A634" s="1">
        <v>43344</v>
      </c>
      <c r="B634" t="s">
        <v>9</v>
      </c>
      <c r="C634" t="s">
        <v>6</v>
      </c>
      <c r="D634">
        <v>9.2540469804370407</v>
      </c>
      <c r="E634">
        <v>8.6148290178193907</v>
      </c>
      <c r="F634">
        <v>9.9406947414741396</v>
      </c>
    </row>
    <row r="635" spans="1:6" ht="15" customHeight="1" x14ac:dyDescent="0.25">
      <c r="A635" s="1">
        <v>43374</v>
      </c>
      <c r="B635" t="s">
        <v>9</v>
      </c>
      <c r="C635" t="s">
        <v>6</v>
      </c>
      <c r="D635">
        <v>9.2208220737040101</v>
      </c>
      <c r="E635">
        <v>8.5043219740689295</v>
      </c>
      <c r="F635">
        <v>9.9976882312496897</v>
      </c>
    </row>
    <row r="636" spans="1:6" ht="15" customHeight="1" x14ac:dyDescent="0.25">
      <c r="A636" s="1">
        <v>43405</v>
      </c>
      <c r="B636" t="s">
        <v>9</v>
      </c>
      <c r="C636" t="s">
        <v>6</v>
      </c>
      <c r="D636">
        <v>8.8522018172505206</v>
      </c>
      <c r="E636">
        <v>8.0802156953681799</v>
      </c>
      <c r="F636">
        <v>9.6979437143308491</v>
      </c>
    </row>
    <row r="637" spans="1:6" ht="15" customHeight="1" x14ac:dyDescent="0.25">
      <c r="A637" s="1">
        <v>43435</v>
      </c>
      <c r="B637" t="s">
        <v>9</v>
      </c>
      <c r="C637" t="s">
        <v>6</v>
      </c>
      <c r="D637">
        <v>8.5601140231785795</v>
      </c>
      <c r="E637">
        <v>7.7383289637443102</v>
      </c>
      <c r="F637">
        <v>9.4691699504026996</v>
      </c>
    </row>
    <row r="638" spans="1:6" ht="15" customHeight="1" x14ac:dyDescent="0.25">
      <c r="A638" s="1">
        <v>43466</v>
      </c>
      <c r="B638" t="s">
        <v>9</v>
      </c>
      <c r="C638" t="s">
        <v>6</v>
      </c>
      <c r="D638">
        <v>8.5588294067334196</v>
      </c>
      <c r="E638">
        <v>7.6543470485750298</v>
      </c>
      <c r="F638">
        <v>9.5701906836327701</v>
      </c>
    </row>
    <row r="639" spans="1:6" ht="15" customHeight="1" x14ac:dyDescent="0.25">
      <c r="A639" s="1">
        <v>43497</v>
      </c>
      <c r="B639" t="s">
        <v>9</v>
      </c>
      <c r="C639" t="s">
        <v>6</v>
      </c>
      <c r="D639">
        <v>8.5000597996593896</v>
      </c>
      <c r="E639">
        <v>7.5110182972283299</v>
      </c>
      <c r="F639">
        <v>9.6193370510690102</v>
      </c>
    </row>
    <row r="640" spans="1:6" ht="15" customHeight="1" x14ac:dyDescent="0.25">
      <c r="A640" s="1">
        <v>43525</v>
      </c>
      <c r="B640" t="s">
        <v>9</v>
      </c>
      <c r="C640" t="s">
        <v>6</v>
      </c>
      <c r="D640">
        <v>8.2772168082139892</v>
      </c>
      <c r="E640">
        <v>7.2300688924396503</v>
      </c>
      <c r="F640">
        <v>9.4760256242955307</v>
      </c>
    </row>
    <row r="641" spans="1:6" ht="15" customHeight="1" x14ac:dyDescent="0.25">
      <c r="A641" s="1">
        <v>43556</v>
      </c>
      <c r="B641" t="s">
        <v>9</v>
      </c>
      <c r="C641" t="s">
        <v>6</v>
      </c>
      <c r="D641">
        <v>8.7681577620059592</v>
      </c>
      <c r="E641">
        <v>7.5583308418293598</v>
      </c>
      <c r="F641">
        <v>10.1716360593734</v>
      </c>
    </row>
    <row r="642" spans="1:6" ht="15" customHeight="1" x14ac:dyDescent="0.25">
      <c r="A642" s="1">
        <v>43586</v>
      </c>
      <c r="B642" t="s">
        <v>9</v>
      </c>
      <c r="C642" t="s">
        <v>6</v>
      </c>
      <c r="D642">
        <v>8.8632188410666792</v>
      </c>
      <c r="E642">
        <v>7.5476545423857804</v>
      </c>
      <c r="F642">
        <v>10.408087410928101</v>
      </c>
    </row>
    <row r="643" spans="1:6" ht="15" customHeight="1" x14ac:dyDescent="0.25">
      <c r="A643" s="1">
        <v>43617</v>
      </c>
      <c r="B643" t="s">
        <v>9</v>
      </c>
      <c r="C643" t="s">
        <v>6</v>
      </c>
      <c r="D643">
        <v>8.7400671927661104</v>
      </c>
      <c r="E643">
        <v>7.3397395490304698</v>
      </c>
      <c r="F643">
        <v>10.4075592905959</v>
      </c>
    </row>
    <row r="644" spans="1:6" ht="15" customHeight="1" x14ac:dyDescent="0.25">
      <c r="A644" s="1">
        <v>43647</v>
      </c>
      <c r="B644" t="s">
        <v>9</v>
      </c>
      <c r="C644" t="s">
        <v>6</v>
      </c>
      <c r="D644">
        <v>8.9257439942529402</v>
      </c>
      <c r="E644">
        <v>7.3988502716344904</v>
      </c>
      <c r="F644">
        <v>10.767741328186499</v>
      </c>
    </row>
    <row r="645" spans="1:6" ht="15" customHeight="1" x14ac:dyDescent="0.25">
      <c r="A645" s="1">
        <v>43678</v>
      </c>
      <c r="B645" t="s">
        <v>9</v>
      </c>
      <c r="C645" t="s">
        <v>6</v>
      </c>
      <c r="D645">
        <v>9.0602477344629193</v>
      </c>
      <c r="E645">
        <v>7.4070993809286598</v>
      </c>
      <c r="F645">
        <v>11.0823528601757</v>
      </c>
    </row>
    <row r="646" spans="1:6" ht="15" customHeight="1" x14ac:dyDescent="0.25">
      <c r="A646" s="1">
        <v>43709</v>
      </c>
      <c r="B646" t="s">
        <v>9</v>
      </c>
      <c r="C646" t="s">
        <v>6</v>
      </c>
      <c r="D646">
        <v>9.1032230714108398</v>
      </c>
      <c r="E646">
        <v>7.3387838028971002</v>
      </c>
      <c r="F646">
        <v>11.2918805776991</v>
      </c>
    </row>
    <row r="647" spans="1:6" ht="15" customHeight="1" x14ac:dyDescent="0.25">
      <c r="A647" s="1">
        <v>43739</v>
      </c>
      <c r="B647" t="s">
        <v>9</v>
      </c>
      <c r="C647" t="s">
        <v>6</v>
      </c>
      <c r="D647">
        <v>9.1159197600179507</v>
      </c>
      <c r="E647">
        <v>7.2425409385545896</v>
      </c>
      <c r="F647">
        <v>11.4738727438481</v>
      </c>
    </row>
    <row r="648" spans="1:6" ht="15" customHeight="1" x14ac:dyDescent="0.25">
      <c r="A648" s="1">
        <v>43770</v>
      </c>
      <c r="B648" t="s">
        <v>9</v>
      </c>
      <c r="C648" t="s">
        <v>6</v>
      </c>
      <c r="D648">
        <v>8.7967411740685097</v>
      </c>
      <c r="E648">
        <v>6.8845099932609504</v>
      </c>
      <c r="F648">
        <v>11.2401108226003</v>
      </c>
    </row>
    <row r="649" spans="1:6" ht="15" customHeight="1" x14ac:dyDescent="0.25">
      <c r="A649" s="1">
        <v>43800</v>
      </c>
      <c r="B649" t="s">
        <v>9</v>
      </c>
      <c r="C649" t="s">
        <v>6</v>
      </c>
      <c r="D649">
        <v>8.5490438110217504</v>
      </c>
      <c r="E649">
        <v>6.5940094586799001</v>
      </c>
      <c r="F649">
        <v>11.083719327481999</v>
      </c>
    </row>
    <row r="650" spans="1:6" ht="15" customHeight="1" x14ac:dyDescent="0.25">
      <c r="A650" s="1">
        <v>43831</v>
      </c>
      <c r="B650" t="s">
        <v>9</v>
      </c>
      <c r="C650" t="s">
        <v>6</v>
      </c>
      <c r="D650">
        <v>8.6861623320936197</v>
      </c>
      <c r="E650">
        <v>6.6061954051440299</v>
      </c>
      <c r="F650">
        <v>11.4210088307003</v>
      </c>
    </row>
    <row r="651" spans="1:6" ht="15" customHeight="1" x14ac:dyDescent="0.25">
      <c r="A651" s="1">
        <v>43862</v>
      </c>
      <c r="B651" t="s">
        <v>9</v>
      </c>
      <c r="C651" t="s">
        <v>6</v>
      </c>
      <c r="D651">
        <v>8.7661950706422207</v>
      </c>
      <c r="E651">
        <v>6.56820566109515</v>
      </c>
      <c r="F651">
        <v>11.6997213518645</v>
      </c>
    </row>
    <row r="652" spans="1:6" ht="15" customHeight="1" x14ac:dyDescent="0.25">
      <c r="A652" s="1">
        <v>43891</v>
      </c>
      <c r="B652" t="s">
        <v>9</v>
      </c>
      <c r="C652" t="s">
        <v>6</v>
      </c>
      <c r="D652">
        <v>8.6611189429848299</v>
      </c>
      <c r="E652">
        <v>6.3934043733993198</v>
      </c>
      <c r="F652">
        <v>11.7331826619072</v>
      </c>
    </row>
    <row r="653" spans="1:6" ht="15" customHeight="1" x14ac:dyDescent="0.25">
      <c r="A653" s="1">
        <v>43922</v>
      </c>
      <c r="B653" t="s">
        <v>9</v>
      </c>
      <c r="C653" t="s">
        <v>6</v>
      </c>
      <c r="D653">
        <v>9.2943802407257703</v>
      </c>
      <c r="E653">
        <v>6.7464509538122401</v>
      </c>
      <c r="F653">
        <v>12.804584907028699</v>
      </c>
    </row>
    <row r="654" spans="1:6" ht="15" customHeight="1" x14ac:dyDescent="0.25">
      <c r="A654" s="1">
        <v>43952</v>
      </c>
      <c r="B654" t="s">
        <v>9</v>
      </c>
      <c r="C654" t="s">
        <v>6</v>
      </c>
      <c r="D654">
        <v>9.5135935656104103</v>
      </c>
      <c r="E654">
        <v>6.7924028680065396</v>
      </c>
      <c r="F654">
        <v>13.3249549961083</v>
      </c>
    </row>
    <row r="655" spans="1:6" ht="15" customHeight="1" x14ac:dyDescent="0.25">
      <c r="A655" s="1">
        <v>43983</v>
      </c>
      <c r="B655" t="s">
        <v>9</v>
      </c>
      <c r="C655" t="s">
        <v>6</v>
      </c>
      <c r="D655">
        <v>9.5036471038034804</v>
      </c>
      <c r="E655">
        <v>6.6696794080757202</v>
      </c>
      <c r="F655">
        <v>13.541776560395499</v>
      </c>
    </row>
    <row r="656" spans="1:6" ht="15" customHeight="1" x14ac:dyDescent="0.25">
      <c r="A656" s="1">
        <v>44013</v>
      </c>
      <c r="B656" t="s">
        <v>9</v>
      </c>
      <c r="C656" t="s">
        <v>6</v>
      </c>
      <c r="D656">
        <v>9.8265539157609396</v>
      </c>
      <c r="E656">
        <v>6.7784100434501804</v>
      </c>
      <c r="F656">
        <v>14.245399915377099</v>
      </c>
    </row>
    <row r="657" spans="1:6" ht="15" customHeight="1" x14ac:dyDescent="0.25">
      <c r="A657" s="1">
        <v>44044</v>
      </c>
      <c r="B657" t="s">
        <v>9</v>
      </c>
      <c r="C657" t="s">
        <v>6</v>
      </c>
      <c r="D657">
        <v>10.1031674008686</v>
      </c>
      <c r="E657">
        <v>6.8480520903920601</v>
      </c>
      <c r="F657">
        <v>14.905551269562601</v>
      </c>
    </row>
    <row r="658" spans="1:6" ht="15" customHeight="1" x14ac:dyDescent="0.25">
      <c r="A658" s="1">
        <v>44075</v>
      </c>
      <c r="B658" t="s">
        <v>9</v>
      </c>
      <c r="C658" t="s">
        <v>6</v>
      </c>
      <c r="D658">
        <v>10.281898741313601</v>
      </c>
      <c r="E658">
        <v>6.8465115869403901</v>
      </c>
      <c r="F658">
        <v>15.4410666489311</v>
      </c>
    </row>
    <row r="659" spans="1:6" ht="15" customHeight="1" x14ac:dyDescent="0.25">
      <c r="A659" s="1">
        <v>44105</v>
      </c>
      <c r="B659" t="s">
        <v>9</v>
      </c>
      <c r="C659" t="s">
        <v>6</v>
      </c>
      <c r="D659">
        <v>10.503392663356401</v>
      </c>
      <c r="E659">
        <v>6.8699465955279004</v>
      </c>
      <c r="F659">
        <v>16.058532028831898</v>
      </c>
    </row>
    <row r="660" spans="1:6" ht="15" customHeight="1" x14ac:dyDescent="0.25">
      <c r="A660" s="1">
        <v>44136</v>
      </c>
      <c r="B660" t="s">
        <v>9</v>
      </c>
      <c r="C660" t="s">
        <v>6</v>
      </c>
      <c r="D660">
        <v>10.346423664151301</v>
      </c>
      <c r="E660">
        <v>6.6464120501431498</v>
      </c>
      <c r="F660">
        <v>16.106206150099201</v>
      </c>
    </row>
    <row r="661" spans="1:6" ht="15" customHeight="1" x14ac:dyDescent="0.25">
      <c r="A661" s="1">
        <v>44166</v>
      </c>
      <c r="B661" t="s">
        <v>9</v>
      </c>
      <c r="C661" t="s">
        <v>6</v>
      </c>
      <c r="D661">
        <v>10.257392096874099</v>
      </c>
      <c r="E661">
        <v>6.4705180843861898</v>
      </c>
      <c r="F661">
        <v>16.2605360586046</v>
      </c>
    </row>
    <row r="662" spans="1:6" x14ac:dyDescent="0.25">
      <c r="A662" s="22">
        <v>41640</v>
      </c>
      <c r="B662" t="s">
        <v>8</v>
      </c>
      <c r="C662" t="s">
        <v>59</v>
      </c>
      <c r="D662">
        <v>2.7898132624733201</v>
      </c>
      <c r="E662">
        <v>2.7541578776539701</v>
      </c>
      <c r="F662">
        <v>2.8259302426416202</v>
      </c>
    </row>
    <row r="663" spans="1:6" x14ac:dyDescent="0.25">
      <c r="A663" s="22">
        <v>41671</v>
      </c>
      <c r="B663" t="s">
        <v>8</v>
      </c>
      <c r="C663" t="s">
        <v>59</v>
      </c>
      <c r="D663">
        <v>2.6760588371359302</v>
      </c>
      <c r="E663">
        <v>2.64276258965688</v>
      </c>
      <c r="F663">
        <v>2.70977458506521</v>
      </c>
    </row>
    <row r="664" spans="1:6" x14ac:dyDescent="0.25">
      <c r="A664" s="22">
        <v>41699</v>
      </c>
      <c r="B664" t="s">
        <v>8</v>
      </c>
      <c r="C664" t="s">
        <v>59</v>
      </c>
      <c r="D664">
        <v>2.6127126080446201</v>
      </c>
      <c r="E664">
        <v>2.5801550370544999</v>
      </c>
      <c r="F664">
        <v>2.6456810052887998</v>
      </c>
    </row>
    <row r="665" spans="1:6" x14ac:dyDescent="0.25">
      <c r="A665" s="22">
        <v>41730</v>
      </c>
      <c r="B665" t="s">
        <v>8</v>
      </c>
      <c r="C665" t="s">
        <v>59</v>
      </c>
      <c r="D665">
        <v>2.5908861048009002</v>
      </c>
      <c r="E665">
        <v>2.5586536305125298</v>
      </c>
      <c r="F665">
        <v>2.62352462560778</v>
      </c>
    </row>
    <row r="666" spans="1:6" x14ac:dyDescent="0.25">
      <c r="A666" s="22">
        <v>41760</v>
      </c>
      <c r="B666" t="s">
        <v>8</v>
      </c>
      <c r="C666" t="s">
        <v>59</v>
      </c>
      <c r="D666">
        <v>2.5644426324721299</v>
      </c>
      <c r="E666">
        <v>2.5325177882203498</v>
      </c>
      <c r="F666">
        <v>2.5967699203652801</v>
      </c>
    </row>
    <row r="667" spans="1:6" x14ac:dyDescent="0.25">
      <c r="A667" s="22">
        <v>41791</v>
      </c>
      <c r="B667" t="s">
        <v>8</v>
      </c>
      <c r="C667" t="s">
        <v>59</v>
      </c>
      <c r="D667">
        <v>2.4929414453496599</v>
      </c>
      <c r="E667">
        <v>2.4619185255348901</v>
      </c>
      <c r="F667">
        <v>2.5243552885617202</v>
      </c>
    </row>
    <row r="668" spans="1:6" x14ac:dyDescent="0.25">
      <c r="A668" s="22">
        <v>41821</v>
      </c>
      <c r="B668" t="s">
        <v>8</v>
      </c>
      <c r="C668" t="s">
        <v>59</v>
      </c>
      <c r="D668">
        <v>2.5531091237884098</v>
      </c>
      <c r="E668">
        <v>2.5213089096416201</v>
      </c>
      <c r="F668">
        <v>2.5853104207283102</v>
      </c>
    </row>
    <row r="669" spans="1:6" x14ac:dyDescent="0.25">
      <c r="A669" s="22">
        <v>41852</v>
      </c>
      <c r="B669" t="s">
        <v>8</v>
      </c>
      <c r="C669" t="s">
        <v>59</v>
      </c>
      <c r="D669">
        <v>2.6213085257342401</v>
      </c>
      <c r="E669">
        <v>2.5885814733759802</v>
      </c>
      <c r="F669">
        <v>2.6544493413705998</v>
      </c>
    </row>
    <row r="670" spans="1:6" x14ac:dyDescent="0.25">
      <c r="A670" s="22">
        <v>41883</v>
      </c>
      <c r="B670" t="s">
        <v>8</v>
      </c>
      <c r="C670" t="s">
        <v>59</v>
      </c>
      <c r="D670">
        <v>2.5751131980853601</v>
      </c>
      <c r="E670">
        <v>2.54297012349496</v>
      </c>
      <c r="F670">
        <v>2.6076625602819701</v>
      </c>
    </row>
    <row r="671" spans="1:6" x14ac:dyDescent="0.25">
      <c r="A671" s="22">
        <v>41913</v>
      </c>
      <c r="B671" t="s">
        <v>8</v>
      </c>
      <c r="C671" t="s">
        <v>59</v>
      </c>
      <c r="D671">
        <v>2.60229668919097</v>
      </c>
      <c r="E671">
        <v>2.5698041249782499</v>
      </c>
      <c r="F671">
        <v>2.6352000888906701</v>
      </c>
    </row>
    <row r="672" spans="1:6" x14ac:dyDescent="0.25">
      <c r="A672" s="22">
        <v>41944</v>
      </c>
      <c r="B672" t="s">
        <v>8</v>
      </c>
      <c r="C672" t="s">
        <v>59</v>
      </c>
      <c r="D672">
        <v>2.55966494836944</v>
      </c>
      <c r="E672">
        <v>2.5276969962881699</v>
      </c>
      <c r="F672">
        <v>2.5920372012675199</v>
      </c>
    </row>
    <row r="673" spans="1:6" x14ac:dyDescent="0.25">
      <c r="A673" s="22">
        <v>41974</v>
      </c>
      <c r="B673" t="s">
        <v>8</v>
      </c>
      <c r="C673" t="s">
        <v>59</v>
      </c>
      <c r="D673">
        <v>2.4547917634683198</v>
      </c>
      <c r="E673">
        <v>2.4241304574860201</v>
      </c>
      <c r="F673">
        <v>2.4858408850822702</v>
      </c>
    </row>
    <row r="674" spans="1:6" x14ac:dyDescent="0.25">
      <c r="A674" s="22">
        <v>42005</v>
      </c>
      <c r="B674" t="s">
        <v>8</v>
      </c>
      <c r="C674" t="s">
        <v>59</v>
      </c>
      <c r="D674">
        <v>2.4942612525169299</v>
      </c>
      <c r="E674">
        <v>2.4630925872974401</v>
      </c>
      <c r="F674">
        <v>2.52582433477806</v>
      </c>
    </row>
    <row r="675" spans="1:6" x14ac:dyDescent="0.25">
      <c r="A675" s="22">
        <v>42036</v>
      </c>
      <c r="B675" t="s">
        <v>8</v>
      </c>
      <c r="C675" t="s">
        <v>59</v>
      </c>
      <c r="D675">
        <v>2.4686836816700199</v>
      </c>
      <c r="E675">
        <v>2.4379711519856699</v>
      </c>
      <c r="F675">
        <v>2.4997831148166401</v>
      </c>
    </row>
    <row r="676" spans="1:6" x14ac:dyDescent="0.25">
      <c r="A676" s="22">
        <v>42064</v>
      </c>
      <c r="B676" t="s">
        <v>8</v>
      </c>
      <c r="C676" t="s">
        <v>59</v>
      </c>
      <c r="D676">
        <v>2.3257017253754699</v>
      </c>
      <c r="E676">
        <v>2.29675942980231</v>
      </c>
      <c r="F676">
        <v>2.35500873327425</v>
      </c>
    </row>
    <row r="677" spans="1:6" x14ac:dyDescent="0.25">
      <c r="A677" s="22">
        <v>42095</v>
      </c>
      <c r="B677" t="s">
        <v>8</v>
      </c>
      <c r="C677" t="s">
        <v>59</v>
      </c>
      <c r="D677">
        <v>2.37538104282027</v>
      </c>
      <c r="E677">
        <v>2.3458297453085901</v>
      </c>
      <c r="F677">
        <v>2.4053046091150301</v>
      </c>
    </row>
    <row r="678" spans="1:6" x14ac:dyDescent="0.25">
      <c r="A678" s="22">
        <v>42125</v>
      </c>
      <c r="B678" t="s">
        <v>8</v>
      </c>
      <c r="C678" t="s">
        <v>59</v>
      </c>
      <c r="D678">
        <v>2.3453309289734201</v>
      </c>
      <c r="E678">
        <v>2.31610860180797</v>
      </c>
      <c r="F678">
        <v>2.3749219540506701</v>
      </c>
    </row>
    <row r="679" spans="1:6" x14ac:dyDescent="0.25">
      <c r="A679" s="22">
        <v>42156</v>
      </c>
      <c r="B679" t="s">
        <v>8</v>
      </c>
      <c r="C679" t="s">
        <v>59</v>
      </c>
      <c r="D679">
        <v>2.3603633244550601</v>
      </c>
      <c r="E679">
        <v>2.3309967081963099</v>
      </c>
      <c r="F679">
        <v>2.3900999104128</v>
      </c>
    </row>
    <row r="680" spans="1:6" x14ac:dyDescent="0.25">
      <c r="A680" s="22">
        <v>42186</v>
      </c>
      <c r="B680" t="s">
        <v>8</v>
      </c>
      <c r="C680" t="s">
        <v>59</v>
      </c>
      <c r="D680">
        <v>2.3977940553643502</v>
      </c>
      <c r="E680">
        <v>2.3674745983515701</v>
      </c>
      <c r="F680">
        <v>2.4285018035436701</v>
      </c>
    </row>
    <row r="681" spans="1:6" x14ac:dyDescent="0.25">
      <c r="A681" s="22">
        <v>42217</v>
      </c>
      <c r="B681" t="s">
        <v>8</v>
      </c>
      <c r="C681" t="s">
        <v>59</v>
      </c>
      <c r="D681">
        <v>2.4790047800000101</v>
      </c>
      <c r="E681">
        <v>2.4464699451094098</v>
      </c>
      <c r="F681">
        <v>2.51197228543433</v>
      </c>
    </row>
    <row r="682" spans="1:6" x14ac:dyDescent="0.25">
      <c r="A682" s="22">
        <v>42248</v>
      </c>
      <c r="B682" t="s">
        <v>8</v>
      </c>
      <c r="C682" t="s">
        <v>59</v>
      </c>
      <c r="D682">
        <v>2.5196715753998302</v>
      </c>
      <c r="E682">
        <v>2.4877193360215899</v>
      </c>
      <c r="F682">
        <v>2.5520342089839301</v>
      </c>
    </row>
    <row r="683" spans="1:6" x14ac:dyDescent="0.25">
      <c r="A683" s="22">
        <v>42278</v>
      </c>
      <c r="B683" t="s">
        <v>8</v>
      </c>
      <c r="C683" t="s">
        <v>59</v>
      </c>
      <c r="D683">
        <v>2.38484371611943</v>
      </c>
      <c r="E683">
        <v>2.3547603108319399</v>
      </c>
      <c r="F683">
        <v>2.41531145405833</v>
      </c>
    </row>
    <row r="684" spans="1:6" x14ac:dyDescent="0.25">
      <c r="A684" s="22">
        <v>42309</v>
      </c>
      <c r="B684" t="s">
        <v>8</v>
      </c>
      <c r="C684" t="s">
        <v>59</v>
      </c>
      <c r="D684">
        <v>2.3343267559007299</v>
      </c>
      <c r="E684">
        <v>2.30494182844203</v>
      </c>
      <c r="F684">
        <v>2.3640863019077498</v>
      </c>
    </row>
    <row r="685" spans="1:6" x14ac:dyDescent="0.25">
      <c r="A685" s="22">
        <v>42339</v>
      </c>
      <c r="B685" t="s">
        <v>8</v>
      </c>
      <c r="C685" t="s">
        <v>59</v>
      </c>
      <c r="D685">
        <v>2.2228174654802402</v>
      </c>
      <c r="E685">
        <v>2.19506309151912</v>
      </c>
      <c r="F685">
        <v>2.2509227656980699</v>
      </c>
    </row>
    <row r="686" spans="1:6" x14ac:dyDescent="0.25">
      <c r="A686" s="22">
        <v>42370</v>
      </c>
      <c r="B686" t="s">
        <v>8</v>
      </c>
      <c r="C686" t="s">
        <v>59</v>
      </c>
      <c r="D686">
        <v>2.2520319128170501</v>
      </c>
      <c r="E686">
        <v>2.22395241719865</v>
      </c>
      <c r="F686">
        <v>2.2804659385360502</v>
      </c>
    </row>
    <row r="687" spans="1:6" x14ac:dyDescent="0.25">
      <c r="A687" s="22">
        <v>42401</v>
      </c>
      <c r="B687" t="s">
        <v>8</v>
      </c>
      <c r="C687" t="s">
        <v>59</v>
      </c>
      <c r="D687">
        <v>2.27083769760356</v>
      </c>
      <c r="E687">
        <v>2.2424780971456801</v>
      </c>
      <c r="F687">
        <v>2.2995559490284898</v>
      </c>
    </row>
    <row r="688" spans="1:6" x14ac:dyDescent="0.25">
      <c r="A688" s="22">
        <v>42430</v>
      </c>
      <c r="B688" t="s">
        <v>8</v>
      </c>
      <c r="C688" t="s">
        <v>59</v>
      </c>
      <c r="D688">
        <v>2.1107579578236599</v>
      </c>
      <c r="E688">
        <v>2.08441158979379</v>
      </c>
      <c r="F688">
        <v>2.1374373364315602</v>
      </c>
    </row>
    <row r="689" spans="1:6" x14ac:dyDescent="0.25">
      <c r="A689" s="22">
        <v>42461</v>
      </c>
      <c r="B689" t="s">
        <v>8</v>
      </c>
      <c r="C689" t="s">
        <v>59</v>
      </c>
      <c r="D689">
        <v>2.0094753686531202</v>
      </c>
      <c r="E689">
        <v>1.9844435249927601</v>
      </c>
      <c r="F689">
        <v>2.0348229649106901</v>
      </c>
    </row>
    <row r="690" spans="1:6" x14ac:dyDescent="0.25">
      <c r="A690" s="22">
        <v>42491</v>
      </c>
      <c r="B690" t="s">
        <v>8</v>
      </c>
      <c r="C690" t="s">
        <v>59</v>
      </c>
      <c r="D690">
        <v>1.9520097304011901</v>
      </c>
      <c r="E690">
        <v>1.9276885243153801</v>
      </c>
      <c r="F690">
        <v>1.97663779159249</v>
      </c>
    </row>
    <row r="691" spans="1:6" x14ac:dyDescent="0.25">
      <c r="A691" s="22">
        <v>42522</v>
      </c>
      <c r="B691" t="s">
        <v>8</v>
      </c>
      <c r="C691" t="s">
        <v>59</v>
      </c>
      <c r="D691">
        <v>2.0116768403181999</v>
      </c>
      <c r="E691">
        <v>1.9866499435631899</v>
      </c>
      <c r="F691">
        <v>2.0370190143384499</v>
      </c>
    </row>
    <row r="692" spans="1:6" x14ac:dyDescent="0.25">
      <c r="A692" s="22">
        <v>42552</v>
      </c>
      <c r="B692" t="s">
        <v>8</v>
      </c>
      <c r="C692" t="s">
        <v>59</v>
      </c>
      <c r="D692">
        <v>2.0444276517729998</v>
      </c>
      <c r="E692">
        <v>2.01897323265373</v>
      </c>
      <c r="F692">
        <v>2.0702029901804599</v>
      </c>
    </row>
    <row r="693" spans="1:6" x14ac:dyDescent="0.25">
      <c r="A693" s="22">
        <v>42583</v>
      </c>
      <c r="B693" t="s">
        <v>8</v>
      </c>
      <c r="C693" t="s">
        <v>59</v>
      </c>
      <c r="D693">
        <v>2.0840634260161099</v>
      </c>
      <c r="E693">
        <v>2.0580348866006601</v>
      </c>
      <c r="F693">
        <v>2.1104211556063799</v>
      </c>
    </row>
    <row r="694" spans="1:6" x14ac:dyDescent="0.25">
      <c r="A694" s="22">
        <v>42614</v>
      </c>
      <c r="B694" t="s">
        <v>8</v>
      </c>
      <c r="C694" t="s">
        <v>59</v>
      </c>
      <c r="D694">
        <v>2.1528307196354199</v>
      </c>
      <c r="E694">
        <v>2.1258707894692899</v>
      </c>
      <c r="F694">
        <v>2.18013255103005</v>
      </c>
    </row>
    <row r="695" spans="1:6" x14ac:dyDescent="0.25">
      <c r="A695" s="22">
        <v>42644</v>
      </c>
      <c r="B695" t="s">
        <v>8</v>
      </c>
      <c r="C695" t="s">
        <v>59</v>
      </c>
      <c r="D695">
        <v>2.1487050347580401</v>
      </c>
      <c r="E695">
        <v>2.12173471261882</v>
      </c>
      <c r="F695">
        <v>2.1760181887658998</v>
      </c>
    </row>
    <row r="696" spans="1:6" x14ac:dyDescent="0.25">
      <c r="A696" s="22">
        <v>42675</v>
      </c>
      <c r="B696" t="s">
        <v>8</v>
      </c>
      <c r="C696" t="s">
        <v>59</v>
      </c>
      <c r="D696">
        <v>2.1197986718881601</v>
      </c>
      <c r="E696">
        <v>2.0933296345384398</v>
      </c>
      <c r="F696">
        <v>2.1466023961054601</v>
      </c>
    </row>
    <row r="697" spans="1:6" x14ac:dyDescent="0.25">
      <c r="A697" s="22">
        <v>42705</v>
      </c>
      <c r="B697" t="s">
        <v>8</v>
      </c>
      <c r="C697" t="s">
        <v>59</v>
      </c>
      <c r="D697">
        <v>2.0842159040627499</v>
      </c>
      <c r="E697">
        <v>2.0581955803007399</v>
      </c>
      <c r="F697">
        <v>2.1105651845357398</v>
      </c>
    </row>
    <row r="698" spans="1:6" x14ac:dyDescent="0.25">
      <c r="A698" s="22">
        <v>42736</v>
      </c>
      <c r="B698" t="s">
        <v>8</v>
      </c>
      <c r="C698" t="s">
        <v>59</v>
      </c>
      <c r="D698">
        <v>2.1353517807782101</v>
      </c>
      <c r="E698">
        <v>2.1087125283137498</v>
      </c>
      <c r="F698">
        <v>2.1623275654927201</v>
      </c>
    </row>
    <row r="699" spans="1:6" x14ac:dyDescent="0.25">
      <c r="A699" s="22">
        <v>42767</v>
      </c>
      <c r="B699" t="s">
        <v>8</v>
      </c>
      <c r="C699" t="s">
        <v>59</v>
      </c>
      <c r="D699">
        <v>2.1088804463353799</v>
      </c>
      <c r="E699">
        <v>2.0826422801325002</v>
      </c>
      <c r="F699">
        <v>2.1354491740428698</v>
      </c>
    </row>
    <row r="700" spans="1:6" x14ac:dyDescent="0.25">
      <c r="A700" s="22">
        <v>42795</v>
      </c>
      <c r="B700" t="s">
        <v>8</v>
      </c>
      <c r="C700" t="s">
        <v>59</v>
      </c>
      <c r="D700">
        <v>2.0763091679586401</v>
      </c>
      <c r="E700">
        <v>2.0504038829865698</v>
      </c>
      <c r="F700">
        <v>2.10254174639471</v>
      </c>
    </row>
    <row r="701" spans="1:6" x14ac:dyDescent="0.25">
      <c r="A701" s="22">
        <v>42826</v>
      </c>
      <c r="B701" t="s">
        <v>8</v>
      </c>
      <c r="C701" t="s">
        <v>59</v>
      </c>
      <c r="D701">
        <v>2.1127067101940198</v>
      </c>
      <c r="E701">
        <v>2.08639267359644</v>
      </c>
      <c r="F701">
        <v>2.1393526251243902</v>
      </c>
    </row>
    <row r="702" spans="1:6" x14ac:dyDescent="0.25">
      <c r="A702" s="22">
        <v>42856</v>
      </c>
      <c r="B702" t="s">
        <v>8</v>
      </c>
      <c r="C702" t="s">
        <v>59</v>
      </c>
      <c r="D702">
        <v>2.1600702246296599</v>
      </c>
      <c r="E702">
        <v>2.1331282451673199</v>
      </c>
      <c r="F702">
        <v>2.1873524884884099</v>
      </c>
    </row>
    <row r="703" spans="1:6" x14ac:dyDescent="0.25">
      <c r="A703" s="22">
        <v>42887</v>
      </c>
      <c r="B703" t="s">
        <v>8</v>
      </c>
      <c r="C703" t="s">
        <v>59</v>
      </c>
      <c r="D703">
        <v>2.1177808700858001</v>
      </c>
      <c r="E703">
        <v>2.0913761830783701</v>
      </c>
      <c r="F703">
        <v>2.1445189296837799</v>
      </c>
    </row>
    <row r="704" spans="1:6" x14ac:dyDescent="0.25">
      <c r="A704" s="22">
        <v>42917</v>
      </c>
      <c r="B704" t="s">
        <v>8</v>
      </c>
      <c r="C704" t="s">
        <v>59</v>
      </c>
      <c r="D704">
        <v>2.1546109708775298</v>
      </c>
      <c r="E704">
        <v>2.1277754766248398</v>
      </c>
      <c r="F704">
        <v>2.1817849142568901</v>
      </c>
    </row>
    <row r="705" spans="1:6" x14ac:dyDescent="0.25">
      <c r="A705" s="22">
        <v>42948</v>
      </c>
      <c r="B705" t="s">
        <v>8</v>
      </c>
      <c r="C705" t="s">
        <v>59</v>
      </c>
      <c r="D705">
        <v>2.1431648310010298</v>
      </c>
      <c r="E705">
        <v>2.11640443514696</v>
      </c>
      <c r="F705">
        <v>2.17026359261089</v>
      </c>
    </row>
    <row r="706" spans="1:6" x14ac:dyDescent="0.25">
      <c r="A706" s="22">
        <v>42979</v>
      </c>
      <c r="B706" t="s">
        <v>8</v>
      </c>
      <c r="C706" t="s">
        <v>59</v>
      </c>
      <c r="D706">
        <v>2.1794506631553201</v>
      </c>
      <c r="E706">
        <v>2.1522648172428598</v>
      </c>
      <c r="F706">
        <v>2.20697990092739</v>
      </c>
    </row>
    <row r="707" spans="1:6" x14ac:dyDescent="0.25">
      <c r="A707" s="22">
        <v>43009</v>
      </c>
      <c r="B707" t="s">
        <v>8</v>
      </c>
      <c r="C707" t="s">
        <v>59</v>
      </c>
      <c r="D707">
        <v>2.22332625196981</v>
      </c>
      <c r="E707">
        <v>2.1955605646998402</v>
      </c>
      <c r="F707">
        <v>2.25144307206752</v>
      </c>
    </row>
    <row r="708" spans="1:6" x14ac:dyDescent="0.25">
      <c r="A708" s="22">
        <v>43040</v>
      </c>
      <c r="B708" t="s">
        <v>8</v>
      </c>
      <c r="C708" t="s">
        <v>59</v>
      </c>
      <c r="D708">
        <v>2.2166439683833001</v>
      </c>
      <c r="E708">
        <v>2.1888738206863998</v>
      </c>
      <c r="F708">
        <v>2.24476643474555</v>
      </c>
    </row>
    <row r="709" spans="1:6" x14ac:dyDescent="0.25">
      <c r="A709" s="22">
        <v>43070</v>
      </c>
      <c r="B709" t="s">
        <v>8</v>
      </c>
      <c r="C709" t="s">
        <v>59</v>
      </c>
      <c r="D709">
        <v>2.06431609191818</v>
      </c>
      <c r="E709">
        <v>2.0385142716742202</v>
      </c>
      <c r="F709">
        <v>2.09044449016905</v>
      </c>
    </row>
    <row r="710" spans="1:6" x14ac:dyDescent="0.25">
      <c r="A710" s="22">
        <v>43101</v>
      </c>
      <c r="B710" t="s">
        <v>8</v>
      </c>
      <c r="C710" t="s">
        <v>59</v>
      </c>
      <c r="D710">
        <v>2.0549407167380802</v>
      </c>
      <c r="E710">
        <v>2.02931266572247</v>
      </c>
      <c r="F710">
        <v>2.0808924226591001</v>
      </c>
    </row>
    <row r="711" spans="1:6" x14ac:dyDescent="0.25">
      <c r="A711" s="23">
        <v>43132</v>
      </c>
      <c r="B711" t="s">
        <v>8</v>
      </c>
      <c r="C711" t="s">
        <v>59</v>
      </c>
      <c r="D711">
        <v>2.08315932522118</v>
      </c>
      <c r="E711">
        <v>2.0571731519487</v>
      </c>
      <c r="F711">
        <v>2.1094737553546401</v>
      </c>
    </row>
    <row r="712" spans="1:6" x14ac:dyDescent="0.25">
      <c r="A712" s="22">
        <v>43160</v>
      </c>
      <c r="B712" t="s">
        <v>8</v>
      </c>
      <c r="C712" t="s">
        <v>59</v>
      </c>
      <c r="D712">
        <v>2.0568984282254701</v>
      </c>
      <c r="E712">
        <v>2.0312369895392202</v>
      </c>
      <c r="F712">
        <v>2.08288405824874</v>
      </c>
    </row>
    <row r="713" spans="1:6" x14ac:dyDescent="0.25">
      <c r="A713" s="22">
        <v>43191</v>
      </c>
      <c r="B713" t="s">
        <v>8</v>
      </c>
      <c r="C713" t="s">
        <v>59</v>
      </c>
      <c r="D713">
        <v>2.1320212177362201</v>
      </c>
      <c r="E713">
        <v>2.1054972857180201</v>
      </c>
      <c r="F713">
        <v>2.1588792841057201</v>
      </c>
    </row>
    <row r="714" spans="1:6" x14ac:dyDescent="0.25">
      <c r="A714" s="22">
        <v>43221</v>
      </c>
      <c r="B714" t="s">
        <v>8</v>
      </c>
      <c r="C714" t="s">
        <v>59</v>
      </c>
      <c r="D714">
        <v>2.1089380054237501</v>
      </c>
      <c r="E714">
        <v>2.0826853137666901</v>
      </c>
      <c r="F714">
        <v>2.1355216178467602</v>
      </c>
    </row>
    <row r="715" spans="1:6" x14ac:dyDescent="0.25">
      <c r="A715" s="22">
        <v>43252</v>
      </c>
      <c r="B715" t="s">
        <v>8</v>
      </c>
      <c r="C715" t="s">
        <v>59</v>
      </c>
      <c r="D715">
        <v>2.11987306305745</v>
      </c>
      <c r="E715">
        <v>2.09347534917694</v>
      </c>
      <c r="F715">
        <v>2.14660363937094</v>
      </c>
    </row>
    <row r="716" spans="1:6" x14ac:dyDescent="0.25">
      <c r="A716" s="22">
        <v>43282</v>
      </c>
      <c r="B716" t="s">
        <v>8</v>
      </c>
      <c r="C716" t="s">
        <v>59</v>
      </c>
      <c r="D716">
        <v>2.1795041908699799</v>
      </c>
      <c r="E716">
        <v>2.1523589679835702</v>
      </c>
      <c r="F716">
        <v>2.2069917651654798</v>
      </c>
    </row>
    <row r="717" spans="1:6" x14ac:dyDescent="0.25">
      <c r="A717" s="22">
        <v>43313</v>
      </c>
      <c r="B717" t="s">
        <v>8</v>
      </c>
      <c r="C717" t="s">
        <v>59</v>
      </c>
      <c r="D717">
        <v>2.2050357355727899</v>
      </c>
      <c r="E717">
        <v>2.17750381188341</v>
      </c>
      <c r="F717">
        <v>2.2329157674114501</v>
      </c>
    </row>
    <row r="718" spans="1:6" x14ac:dyDescent="0.25">
      <c r="A718" s="22">
        <v>43344</v>
      </c>
      <c r="B718" t="s">
        <v>8</v>
      </c>
      <c r="C718" t="s">
        <v>59</v>
      </c>
      <c r="D718">
        <v>2.16745465422219</v>
      </c>
      <c r="E718">
        <v>2.1397588138100501</v>
      </c>
      <c r="F718">
        <v>2.1955089740906</v>
      </c>
    </row>
    <row r="719" spans="1:6" x14ac:dyDescent="0.25">
      <c r="A719" s="22">
        <v>43374</v>
      </c>
      <c r="B719" t="s">
        <v>8</v>
      </c>
      <c r="C719" t="s">
        <v>59</v>
      </c>
      <c r="D719">
        <v>2.1539064672459398</v>
      </c>
      <c r="E719">
        <v>2.1113866695861101</v>
      </c>
      <c r="F719">
        <v>2.1972825425450502</v>
      </c>
    </row>
    <row r="720" spans="1:6" x14ac:dyDescent="0.25">
      <c r="A720" s="22">
        <v>43405</v>
      </c>
      <c r="B720" t="s">
        <v>8</v>
      </c>
      <c r="C720" t="s">
        <v>59</v>
      </c>
      <c r="D720">
        <v>2.12507525273341</v>
      </c>
      <c r="E720">
        <v>2.0655726710377</v>
      </c>
      <c r="F720">
        <v>2.1862919146346398</v>
      </c>
    </row>
    <row r="721" spans="1:6" x14ac:dyDescent="0.25">
      <c r="A721" s="22">
        <v>43435</v>
      </c>
      <c r="B721" t="s">
        <v>8</v>
      </c>
      <c r="C721" t="s">
        <v>59</v>
      </c>
      <c r="D721">
        <v>2.0327717805147598</v>
      </c>
      <c r="E721">
        <v>1.96275611884804</v>
      </c>
      <c r="F721">
        <v>2.1052850489047898</v>
      </c>
    </row>
    <row r="722" spans="1:6" x14ac:dyDescent="0.25">
      <c r="A722" s="23">
        <v>43466</v>
      </c>
      <c r="B722" t="s">
        <v>8</v>
      </c>
      <c r="C722" t="s">
        <v>59</v>
      </c>
      <c r="D722">
        <v>2.0597997766635601</v>
      </c>
      <c r="E722">
        <v>1.98127919278724</v>
      </c>
      <c r="F722">
        <v>2.1414322299395701</v>
      </c>
    </row>
    <row r="723" spans="1:6" x14ac:dyDescent="0.25">
      <c r="A723" s="22">
        <v>43497</v>
      </c>
      <c r="B723" t="s">
        <v>8</v>
      </c>
      <c r="C723" t="s">
        <v>59</v>
      </c>
      <c r="D723">
        <v>2.0437103563776202</v>
      </c>
      <c r="E723">
        <v>1.9566485697491101</v>
      </c>
      <c r="F723">
        <v>2.1346459887279101</v>
      </c>
    </row>
    <row r="724" spans="1:6" x14ac:dyDescent="0.25">
      <c r="A724" s="22">
        <v>43525</v>
      </c>
      <c r="B724" t="s">
        <v>8</v>
      </c>
      <c r="C724" t="s">
        <v>59</v>
      </c>
      <c r="D724">
        <v>1.9707103764378899</v>
      </c>
      <c r="E724">
        <v>1.87858192133743</v>
      </c>
      <c r="F724">
        <v>2.0673569481787699</v>
      </c>
    </row>
    <row r="725" spans="1:6" x14ac:dyDescent="0.25">
      <c r="A725" s="22">
        <v>43556</v>
      </c>
      <c r="B725" t="s">
        <v>8</v>
      </c>
      <c r="C725" t="s">
        <v>59</v>
      </c>
      <c r="D725">
        <v>1.9792755936961299</v>
      </c>
      <c r="E725">
        <v>1.88064428192271</v>
      </c>
      <c r="F725">
        <v>2.0830796729916501</v>
      </c>
    </row>
    <row r="726" spans="1:6" x14ac:dyDescent="0.25">
      <c r="A726" s="22">
        <v>43586</v>
      </c>
      <c r="B726" t="s">
        <v>8</v>
      </c>
      <c r="C726" t="s">
        <v>59</v>
      </c>
      <c r="D726">
        <v>1.96507141914946</v>
      </c>
      <c r="E726">
        <v>1.86128417509639</v>
      </c>
      <c r="F726">
        <v>2.0746459535971198</v>
      </c>
    </row>
    <row r="727" spans="1:6" x14ac:dyDescent="0.25">
      <c r="A727" s="22">
        <v>43617</v>
      </c>
      <c r="B727" t="s">
        <v>8</v>
      </c>
      <c r="C727" t="s">
        <v>59</v>
      </c>
      <c r="D727">
        <v>1.96382042641201</v>
      </c>
      <c r="E727">
        <v>1.85361425855525</v>
      </c>
      <c r="F727">
        <v>2.0805788741606701</v>
      </c>
    </row>
    <row r="728" spans="1:6" x14ac:dyDescent="0.25">
      <c r="A728" s="22">
        <v>43647</v>
      </c>
      <c r="B728" t="s">
        <v>8</v>
      </c>
      <c r="C728" t="s">
        <v>59</v>
      </c>
      <c r="D728">
        <v>2.00583032645822</v>
      </c>
      <c r="E728">
        <v>1.88809151524411</v>
      </c>
      <c r="F728">
        <v>2.1309111693239702</v>
      </c>
    </row>
    <row r="729" spans="1:6" x14ac:dyDescent="0.25">
      <c r="A729" s="22">
        <v>43678</v>
      </c>
      <c r="B729" t="s">
        <v>8</v>
      </c>
      <c r="C729" t="s">
        <v>59</v>
      </c>
      <c r="D729">
        <v>2.04032478702316</v>
      </c>
      <c r="E729">
        <v>1.91472967828733</v>
      </c>
      <c r="F729">
        <v>2.1741582029817899</v>
      </c>
    </row>
    <row r="730" spans="1:6" x14ac:dyDescent="0.25">
      <c r="A730" s="22">
        <v>43709</v>
      </c>
      <c r="B730" t="s">
        <v>8</v>
      </c>
      <c r="C730" t="s">
        <v>59</v>
      </c>
      <c r="D730">
        <v>2.0560264590834199</v>
      </c>
      <c r="E730">
        <v>1.9240456919201701</v>
      </c>
      <c r="F730">
        <v>2.19706050547707</v>
      </c>
    </row>
    <row r="731" spans="1:6" x14ac:dyDescent="0.25">
      <c r="A731" s="22">
        <v>43739</v>
      </c>
      <c r="B731" t="s">
        <v>8</v>
      </c>
      <c r="C731" t="s">
        <v>59</v>
      </c>
      <c r="D731">
        <v>2.04327702913417</v>
      </c>
      <c r="E731">
        <v>1.9034222844009501</v>
      </c>
      <c r="F731">
        <v>2.1934076594576202</v>
      </c>
    </row>
    <row r="732" spans="1:6" x14ac:dyDescent="0.25">
      <c r="A732" s="22">
        <v>43770</v>
      </c>
      <c r="B732" t="s">
        <v>8</v>
      </c>
      <c r="C732" t="s">
        <v>59</v>
      </c>
      <c r="D732">
        <v>2.0160308981885402</v>
      </c>
      <c r="E732">
        <v>1.86925694821015</v>
      </c>
      <c r="F732">
        <v>2.1743295304279102</v>
      </c>
    </row>
    <row r="733" spans="1:6" x14ac:dyDescent="0.25">
      <c r="A733" s="23">
        <v>43800</v>
      </c>
      <c r="B733" t="s">
        <v>8</v>
      </c>
      <c r="C733" t="s">
        <v>59</v>
      </c>
      <c r="D733">
        <v>1.92856031821721</v>
      </c>
      <c r="E733">
        <v>1.7804313738386199</v>
      </c>
      <c r="F733">
        <v>2.0890133456720301</v>
      </c>
    </row>
    <row r="734" spans="1:6" x14ac:dyDescent="0.25">
      <c r="A734" s="23">
        <v>43831</v>
      </c>
      <c r="B734" t="s">
        <v>8</v>
      </c>
      <c r="C734" t="s">
        <v>59</v>
      </c>
      <c r="D734">
        <v>1.95423469290955</v>
      </c>
      <c r="E734">
        <v>1.7988795718914601</v>
      </c>
      <c r="F734">
        <v>2.1230066173666602</v>
      </c>
    </row>
    <row r="735" spans="1:6" x14ac:dyDescent="0.25">
      <c r="A735" s="22">
        <v>43862</v>
      </c>
      <c r="B735" t="s">
        <v>8</v>
      </c>
      <c r="C735" t="s">
        <v>59</v>
      </c>
      <c r="D735">
        <v>1.9390015963712699</v>
      </c>
      <c r="E735">
        <v>1.7784475156801101</v>
      </c>
      <c r="F735">
        <v>2.1140501238196601</v>
      </c>
    </row>
    <row r="736" spans="1:6" x14ac:dyDescent="0.25">
      <c r="A736" s="22">
        <v>43891</v>
      </c>
      <c r="B736" t="s">
        <v>8</v>
      </c>
      <c r="C736" t="s">
        <v>59</v>
      </c>
      <c r="D736">
        <v>1.8697693872621699</v>
      </c>
      <c r="E736">
        <v>1.7089051410937399</v>
      </c>
      <c r="F736">
        <v>2.0457762560800701</v>
      </c>
    </row>
    <row r="737" spans="1:6" x14ac:dyDescent="0.25">
      <c r="A737" s="22">
        <v>43922</v>
      </c>
      <c r="B737" t="s">
        <v>8</v>
      </c>
      <c r="C737" t="s">
        <v>59</v>
      </c>
      <c r="D737">
        <v>1.87789423544437</v>
      </c>
      <c r="E737">
        <v>1.71145250089016</v>
      </c>
      <c r="F737">
        <v>2.0605227183816099</v>
      </c>
    </row>
    <row r="738" spans="1:6" x14ac:dyDescent="0.25">
      <c r="A738" s="22">
        <v>43952</v>
      </c>
      <c r="B738" t="s">
        <v>8</v>
      </c>
      <c r="C738" t="s">
        <v>59</v>
      </c>
      <c r="D738">
        <v>1.8644160306713</v>
      </c>
      <c r="E738">
        <v>1.69436965715918</v>
      </c>
      <c r="F738">
        <v>2.0515282014977601</v>
      </c>
    </row>
    <row r="739" spans="1:6" x14ac:dyDescent="0.25">
      <c r="A739" s="22">
        <v>43983</v>
      </c>
      <c r="B739" t="s">
        <v>8</v>
      </c>
      <c r="C739" t="s">
        <v>59</v>
      </c>
      <c r="D739">
        <v>1.8632274760993499</v>
      </c>
      <c r="E739">
        <v>1.68790802066733</v>
      </c>
      <c r="F739">
        <v>2.05675699456599</v>
      </c>
    </row>
    <row r="740" spans="1:6" x14ac:dyDescent="0.25">
      <c r="A740" s="22">
        <v>44013</v>
      </c>
      <c r="B740" t="s">
        <v>8</v>
      </c>
      <c r="C740" t="s">
        <v>59</v>
      </c>
      <c r="D740">
        <v>1.9030120450713299</v>
      </c>
      <c r="E740">
        <v>1.71942308693534</v>
      </c>
      <c r="F740">
        <v>2.10620345347425</v>
      </c>
    </row>
    <row r="741" spans="1:6" x14ac:dyDescent="0.25">
      <c r="A741" s="22">
        <v>44044</v>
      </c>
      <c r="B741" t="s">
        <v>8</v>
      </c>
      <c r="C741" t="s">
        <v>59</v>
      </c>
      <c r="D741">
        <v>1.9356611246467199</v>
      </c>
      <c r="E741">
        <v>1.7438302862655499</v>
      </c>
      <c r="F741">
        <v>2.14859440105977</v>
      </c>
    </row>
    <row r="742" spans="1:6" x14ac:dyDescent="0.25">
      <c r="A742" s="22">
        <v>44075</v>
      </c>
      <c r="B742" t="s">
        <v>8</v>
      </c>
      <c r="C742" t="s">
        <v>59</v>
      </c>
      <c r="D742">
        <v>1.95047954342245</v>
      </c>
      <c r="E742">
        <v>1.75232553162548</v>
      </c>
      <c r="F742">
        <v>2.17104092855421</v>
      </c>
    </row>
    <row r="743" spans="1:6" x14ac:dyDescent="0.25">
      <c r="A743" s="22">
        <v>44105</v>
      </c>
      <c r="B743" t="s">
        <v>8</v>
      </c>
      <c r="C743" t="s">
        <v>59</v>
      </c>
      <c r="D743">
        <v>1.9383143649664401</v>
      </c>
      <c r="E743">
        <v>1.73387504947105</v>
      </c>
      <c r="F743">
        <v>2.1668588971168501</v>
      </c>
    </row>
    <row r="744" spans="1:6" x14ac:dyDescent="0.25">
      <c r="A744" s="22">
        <v>44136</v>
      </c>
      <c r="B744" t="s">
        <v>8</v>
      </c>
      <c r="C744" t="s">
        <v>59</v>
      </c>
      <c r="D744">
        <v>1.9123962450057399</v>
      </c>
      <c r="E744">
        <v>1.7029498585577201</v>
      </c>
      <c r="F744">
        <v>2.1476025142686699</v>
      </c>
    </row>
    <row r="745" spans="1:6" x14ac:dyDescent="0.25">
      <c r="A745" s="23">
        <v>44166</v>
      </c>
      <c r="B745" t="s">
        <v>8</v>
      </c>
      <c r="C745" t="s">
        <v>59</v>
      </c>
      <c r="D745">
        <v>1.8293558188454599</v>
      </c>
      <c r="E745">
        <v>1.6221204315214599</v>
      </c>
      <c r="F745">
        <v>2.06306674086145</v>
      </c>
    </row>
    <row r="746" spans="1:6" x14ac:dyDescent="0.25">
      <c r="A746" s="22">
        <v>41640</v>
      </c>
      <c r="B746" t="s">
        <v>8</v>
      </c>
      <c r="C746" t="s">
        <v>60</v>
      </c>
      <c r="D746">
        <v>2.79022767433116</v>
      </c>
      <c r="E746">
        <v>2.7555012462584401</v>
      </c>
      <c r="F746">
        <v>2.82539174503182</v>
      </c>
    </row>
    <row r="747" spans="1:6" x14ac:dyDescent="0.25">
      <c r="A747" s="22">
        <v>41671</v>
      </c>
      <c r="B747" t="s">
        <v>8</v>
      </c>
      <c r="C747" t="s">
        <v>60</v>
      </c>
      <c r="D747">
        <v>2.6755698206896699</v>
      </c>
      <c r="E747">
        <v>2.6431071786454599</v>
      </c>
      <c r="F747">
        <v>2.7084311688994802</v>
      </c>
    </row>
    <row r="748" spans="1:6" x14ac:dyDescent="0.25">
      <c r="A748" s="22">
        <v>41699</v>
      </c>
      <c r="B748" t="s">
        <v>8</v>
      </c>
      <c r="C748" t="s">
        <v>60</v>
      </c>
      <c r="D748">
        <v>2.6129009829582301</v>
      </c>
      <c r="E748">
        <v>2.58115257133599</v>
      </c>
      <c r="F748">
        <v>2.64503990293387</v>
      </c>
    </row>
    <row r="749" spans="1:6" x14ac:dyDescent="0.25">
      <c r="A749" s="22">
        <v>41730</v>
      </c>
      <c r="B749" t="s">
        <v>8</v>
      </c>
      <c r="C749" t="s">
        <v>60</v>
      </c>
      <c r="D749">
        <v>2.59080986688629</v>
      </c>
      <c r="E749">
        <v>2.5593789431412701</v>
      </c>
      <c r="F749">
        <v>2.6226267838700701</v>
      </c>
    </row>
    <row r="750" spans="1:6" x14ac:dyDescent="0.25">
      <c r="A750" s="22">
        <v>41760</v>
      </c>
      <c r="B750" t="s">
        <v>8</v>
      </c>
      <c r="C750" t="s">
        <v>60</v>
      </c>
      <c r="D750">
        <v>2.5647198127560902</v>
      </c>
      <c r="E750">
        <v>2.53358574560498</v>
      </c>
      <c r="F750">
        <v>2.5962364721044602</v>
      </c>
    </row>
    <row r="751" spans="1:6" x14ac:dyDescent="0.25">
      <c r="A751" s="22">
        <v>41791</v>
      </c>
      <c r="B751" t="s">
        <v>8</v>
      </c>
      <c r="C751" t="s">
        <v>60</v>
      </c>
      <c r="D751">
        <v>2.4926003731830102</v>
      </c>
      <c r="E751">
        <v>2.46235044951985</v>
      </c>
      <c r="F751">
        <v>2.5232219165243501</v>
      </c>
    </row>
    <row r="752" spans="1:6" x14ac:dyDescent="0.25">
      <c r="A752" s="22">
        <v>41821</v>
      </c>
      <c r="B752" t="s">
        <v>8</v>
      </c>
      <c r="C752" t="s">
        <v>60</v>
      </c>
      <c r="D752">
        <v>2.55306313393335</v>
      </c>
      <c r="E752">
        <v>2.5220553610407999</v>
      </c>
      <c r="F752">
        <v>2.5844521363558401</v>
      </c>
    </row>
    <row r="753" spans="1:6" x14ac:dyDescent="0.25">
      <c r="A753" s="22">
        <v>41852</v>
      </c>
      <c r="B753" t="s">
        <v>8</v>
      </c>
      <c r="C753" t="s">
        <v>60</v>
      </c>
      <c r="D753">
        <v>2.6216657354817898</v>
      </c>
      <c r="E753">
        <v>2.5897537920148901</v>
      </c>
      <c r="F753">
        <v>2.6539709102044799</v>
      </c>
    </row>
    <row r="754" spans="1:6" x14ac:dyDescent="0.25">
      <c r="A754" s="22">
        <v>41883</v>
      </c>
      <c r="B754" t="s">
        <v>8</v>
      </c>
      <c r="C754" t="s">
        <v>60</v>
      </c>
      <c r="D754">
        <v>2.57466212520765</v>
      </c>
      <c r="E754">
        <v>2.5433319240693799</v>
      </c>
      <c r="F754">
        <v>2.6063782694837698</v>
      </c>
    </row>
    <row r="755" spans="1:6" x14ac:dyDescent="0.25">
      <c r="A755" s="22">
        <v>41913</v>
      </c>
      <c r="B755" t="s">
        <v>8</v>
      </c>
      <c r="C755" t="s">
        <v>60</v>
      </c>
      <c r="D755">
        <v>2.6024969944045502</v>
      </c>
      <c r="E755">
        <v>2.5708154088658302</v>
      </c>
      <c r="F755">
        <v>2.6345690097107202</v>
      </c>
    </row>
    <row r="756" spans="1:6" x14ac:dyDescent="0.25">
      <c r="A756" s="22">
        <v>41944</v>
      </c>
      <c r="B756" t="s">
        <v>8</v>
      </c>
      <c r="C756" t="s">
        <v>60</v>
      </c>
      <c r="D756">
        <v>2.55958982106461</v>
      </c>
      <c r="E756">
        <v>2.52842361205487</v>
      </c>
      <c r="F756">
        <v>2.59114019536193</v>
      </c>
    </row>
    <row r="757" spans="1:6" x14ac:dyDescent="0.25">
      <c r="A757" s="22">
        <v>41974</v>
      </c>
      <c r="B757" t="s">
        <v>8</v>
      </c>
      <c r="C757" t="s">
        <v>60</v>
      </c>
      <c r="D757">
        <v>2.4547631882974299</v>
      </c>
      <c r="E757">
        <v>2.4248702383927001</v>
      </c>
      <c r="F757">
        <v>2.4850246480052101</v>
      </c>
    </row>
    <row r="758" spans="1:6" x14ac:dyDescent="0.25">
      <c r="A758" s="22">
        <v>42005</v>
      </c>
      <c r="B758" t="s">
        <v>8</v>
      </c>
      <c r="C758" t="s">
        <v>60</v>
      </c>
      <c r="D758">
        <v>2.4943942160168699</v>
      </c>
      <c r="E758">
        <v>2.4640048674191299</v>
      </c>
      <c r="F758">
        <v>2.52515836602851</v>
      </c>
    </row>
    <row r="759" spans="1:6" x14ac:dyDescent="0.25">
      <c r="A759" s="22">
        <v>42036</v>
      </c>
      <c r="B759" t="s">
        <v>8</v>
      </c>
      <c r="C759" t="s">
        <v>60</v>
      </c>
      <c r="D759">
        <v>2.4688851888864898</v>
      </c>
      <c r="E759">
        <v>2.43893303027617</v>
      </c>
      <c r="F759">
        <v>2.4992051853153399</v>
      </c>
    </row>
    <row r="760" spans="1:6" x14ac:dyDescent="0.25">
      <c r="A760" s="22">
        <v>42064</v>
      </c>
      <c r="B760" t="s">
        <v>8</v>
      </c>
      <c r="C760" t="s">
        <v>60</v>
      </c>
      <c r="D760">
        <v>2.3253059156160001</v>
      </c>
      <c r="E760">
        <v>2.2970876374144402</v>
      </c>
      <c r="F760">
        <v>2.3538708376336999</v>
      </c>
    </row>
    <row r="761" spans="1:6" x14ac:dyDescent="0.25">
      <c r="A761" s="22">
        <v>42095</v>
      </c>
      <c r="B761" t="s">
        <v>8</v>
      </c>
      <c r="C761" t="s">
        <v>60</v>
      </c>
      <c r="D761">
        <v>2.3755768700917201</v>
      </c>
      <c r="E761">
        <v>2.3467571087713499</v>
      </c>
      <c r="F761">
        <v>2.4047505575339998</v>
      </c>
    </row>
    <row r="762" spans="1:6" x14ac:dyDescent="0.25">
      <c r="A762" s="22">
        <v>42125</v>
      </c>
      <c r="B762" t="s">
        <v>8</v>
      </c>
      <c r="C762" t="s">
        <v>60</v>
      </c>
      <c r="D762">
        <v>2.3452716349174398</v>
      </c>
      <c r="E762">
        <v>2.3167783199418799</v>
      </c>
      <c r="F762">
        <v>2.3741153800534001</v>
      </c>
    </row>
    <row r="763" spans="1:6" x14ac:dyDescent="0.25">
      <c r="A763" s="22">
        <v>42156</v>
      </c>
      <c r="B763" t="s">
        <v>8</v>
      </c>
      <c r="C763" t="s">
        <v>60</v>
      </c>
      <c r="D763">
        <v>2.3604670136205499</v>
      </c>
      <c r="E763">
        <v>2.3318290575929899</v>
      </c>
      <c r="F763">
        <v>2.3894566817613101</v>
      </c>
    </row>
    <row r="764" spans="1:6" x14ac:dyDescent="0.25">
      <c r="A764" s="22">
        <v>42186</v>
      </c>
      <c r="B764" t="s">
        <v>8</v>
      </c>
      <c r="C764" t="s">
        <v>60</v>
      </c>
      <c r="D764">
        <v>2.39756051494349</v>
      </c>
      <c r="E764">
        <v>2.3680199751014301</v>
      </c>
      <c r="F764">
        <v>2.4274695666660899</v>
      </c>
    </row>
    <row r="765" spans="1:6" x14ac:dyDescent="0.25">
      <c r="A765" s="22">
        <v>42217</v>
      </c>
      <c r="B765" t="s">
        <v>8</v>
      </c>
      <c r="C765" t="s">
        <v>60</v>
      </c>
      <c r="D765">
        <v>2.4790047799999999</v>
      </c>
      <c r="E765">
        <v>2.4473692102512699</v>
      </c>
      <c r="F765">
        <v>2.51104928243823</v>
      </c>
    </row>
    <row r="766" spans="1:6" x14ac:dyDescent="0.25">
      <c r="A766" s="22">
        <v>42248</v>
      </c>
      <c r="B766" t="s">
        <v>8</v>
      </c>
      <c r="C766" t="s">
        <v>60</v>
      </c>
      <c r="D766">
        <v>2.5204250927397598</v>
      </c>
      <c r="E766">
        <v>2.4892758922929401</v>
      </c>
      <c r="F766">
        <v>2.5519640742837599</v>
      </c>
    </row>
    <row r="767" spans="1:6" x14ac:dyDescent="0.25">
      <c r="A767" s="22">
        <v>42278</v>
      </c>
      <c r="B767" t="s">
        <v>8</v>
      </c>
      <c r="C767" t="s">
        <v>60</v>
      </c>
      <c r="D767">
        <v>2.3843455620072</v>
      </c>
      <c r="E767">
        <v>2.3550335786204299</v>
      </c>
      <c r="F767">
        <v>2.41402237771648</v>
      </c>
    </row>
    <row r="768" spans="1:6" x14ac:dyDescent="0.25">
      <c r="A768" s="22">
        <v>42309</v>
      </c>
      <c r="B768" t="s">
        <v>8</v>
      </c>
      <c r="C768" t="s">
        <v>60</v>
      </c>
      <c r="D768">
        <v>2.3343669877724098</v>
      </c>
      <c r="E768">
        <v>2.30572722141771</v>
      </c>
      <c r="F768">
        <v>2.3633624927458001</v>
      </c>
    </row>
    <row r="769" spans="1:6" x14ac:dyDescent="0.25">
      <c r="A769" s="22">
        <v>42339</v>
      </c>
      <c r="B769" t="s">
        <v>8</v>
      </c>
      <c r="C769" t="s">
        <v>60</v>
      </c>
      <c r="D769">
        <v>2.2227495762540599</v>
      </c>
      <c r="E769">
        <v>2.1956906894592598</v>
      </c>
      <c r="F769">
        <v>2.2501419268459699</v>
      </c>
    </row>
    <row r="770" spans="1:6" x14ac:dyDescent="0.25">
      <c r="A770" s="22">
        <v>42370</v>
      </c>
      <c r="B770" t="s">
        <v>8</v>
      </c>
      <c r="C770" t="s">
        <v>60</v>
      </c>
      <c r="D770">
        <v>2.2518809833672599</v>
      </c>
      <c r="E770">
        <v>2.2245041935941599</v>
      </c>
      <c r="F770">
        <v>2.2795946970357801</v>
      </c>
    </row>
    <row r="771" spans="1:6" x14ac:dyDescent="0.25">
      <c r="A771" s="22">
        <v>42401</v>
      </c>
      <c r="B771" t="s">
        <v>8</v>
      </c>
      <c r="C771" t="s">
        <v>60</v>
      </c>
      <c r="D771">
        <v>2.2712841149037</v>
      </c>
      <c r="E771">
        <v>2.2436285137934302</v>
      </c>
      <c r="F771">
        <v>2.2992806067933702</v>
      </c>
    </row>
    <row r="772" spans="1:6" x14ac:dyDescent="0.25">
      <c r="A772" s="22">
        <v>42430</v>
      </c>
      <c r="B772" t="s">
        <v>8</v>
      </c>
      <c r="C772" t="s">
        <v>60</v>
      </c>
      <c r="D772">
        <v>2.1109759190455701</v>
      </c>
      <c r="E772">
        <v>2.0852853184492299</v>
      </c>
      <c r="F772">
        <v>2.1369830264302898</v>
      </c>
    </row>
    <row r="773" spans="1:6" x14ac:dyDescent="0.25">
      <c r="A773" s="22">
        <v>42461</v>
      </c>
      <c r="B773" t="s">
        <v>8</v>
      </c>
      <c r="C773" t="s">
        <v>60</v>
      </c>
      <c r="D773">
        <v>2.0092210547849199</v>
      </c>
      <c r="E773">
        <v>1.98481570939702</v>
      </c>
      <c r="F773">
        <v>2.0339264889320301</v>
      </c>
    </row>
    <row r="774" spans="1:6" x14ac:dyDescent="0.25">
      <c r="A774" s="22">
        <v>42491</v>
      </c>
      <c r="B774" t="s">
        <v>8</v>
      </c>
      <c r="C774" t="s">
        <v>60</v>
      </c>
      <c r="D774">
        <v>1.9515384401539699</v>
      </c>
      <c r="E774">
        <v>1.92782837553287</v>
      </c>
      <c r="F774">
        <v>1.9755401112123701</v>
      </c>
    </row>
    <row r="775" spans="1:6" x14ac:dyDescent="0.25">
      <c r="A775" s="22">
        <v>42522</v>
      </c>
      <c r="B775" t="s">
        <v>8</v>
      </c>
      <c r="C775" t="s">
        <v>60</v>
      </c>
      <c r="D775">
        <v>2.01194005036366</v>
      </c>
      <c r="E775">
        <v>1.9875311229767101</v>
      </c>
      <c r="F775">
        <v>2.0366487444960399</v>
      </c>
    </row>
    <row r="776" spans="1:6" x14ac:dyDescent="0.25">
      <c r="A776" s="22">
        <v>42552</v>
      </c>
      <c r="B776" t="s">
        <v>8</v>
      </c>
      <c r="C776" t="s">
        <v>60</v>
      </c>
      <c r="D776">
        <v>2.04437654130734</v>
      </c>
      <c r="E776">
        <v>2.0195559210074099</v>
      </c>
      <c r="F776">
        <v>2.0695022104478</v>
      </c>
    </row>
    <row r="777" spans="1:6" x14ac:dyDescent="0.25">
      <c r="A777" s="22">
        <v>42583</v>
      </c>
      <c r="B777" t="s">
        <v>8</v>
      </c>
      <c r="C777" t="s">
        <v>60</v>
      </c>
      <c r="D777">
        <v>2.08389766225475</v>
      </c>
      <c r="E777">
        <v>2.0585227915478801</v>
      </c>
      <c r="F777">
        <v>2.10958532233954</v>
      </c>
    </row>
    <row r="778" spans="1:6" x14ac:dyDescent="0.25">
      <c r="A778" s="22">
        <v>42614</v>
      </c>
      <c r="B778" t="s">
        <v>8</v>
      </c>
      <c r="C778" t="s">
        <v>60</v>
      </c>
      <c r="D778">
        <v>2.1529525315550102</v>
      </c>
      <c r="E778">
        <v>2.12667510737265</v>
      </c>
      <c r="F778">
        <v>2.1795546423899199</v>
      </c>
    </row>
    <row r="779" spans="1:6" x14ac:dyDescent="0.25">
      <c r="A779" s="22">
        <v>42644</v>
      </c>
      <c r="B779" t="s">
        <v>8</v>
      </c>
      <c r="C779" t="s">
        <v>60</v>
      </c>
      <c r="D779">
        <v>2.14881681938264</v>
      </c>
      <c r="E779">
        <v>2.1225264664599499</v>
      </c>
      <c r="F779">
        <v>2.1754328137838801</v>
      </c>
    </row>
    <row r="780" spans="1:6" x14ac:dyDescent="0.25">
      <c r="A780" s="22">
        <v>42675</v>
      </c>
      <c r="B780" t="s">
        <v>8</v>
      </c>
      <c r="C780" t="s">
        <v>60</v>
      </c>
      <c r="D780">
        <v>2.1195465833932499</v>
      </c>
      <c r="E780">
        <v>2.0937431319067401</v>
      </c>
      <c r="F780">
        <v>2.14566803860165</v>
      </c>
    </row>
    <row r="781" spans="1:6" x14ac:dyDescent="0.25">
      <c r="A781" s="22">
        <v>42705</v>
      </c>
      <c r="B781" t="s">
        <v>8</v>
      </c>
      <c r="C781" t="s">
        <v>60</v>
      </c>
      <c r="D781">
        <v>2.08435300294625</v>
      </c>
      <c r="E781">
        <v>2.0589822371822599</v>
      </c>
      <c r="F781">
        <v>2.1100363871213399</v>
      </c>
    </row>
    <row r="782" spans="1:6" x14ac:dyDescent="0.25">
      <c r="A782" s="22">
        <v>42736</v>
      </c>
      <c r="B782" t="s">
        <v>8</v>
      </c>
      <c r="C782" t="s">
        <v>60</v>
      </c>
      <c r="D782">
        <v>2.1354566406681101</v>
      </c>
      <c r="E782">
        <v>2.1094814307318002</v>
      </c>
      <c r="F782">
        <v>2.1617516977106299</v>
      </c>
    </row>
    <row r="783" spans="1:6" x14ac:dyDescent="0.25">
      <c r="A783" s="22">
        <v>42767</v>
      </c>
      <c r="B783" t="s">
        <v>8</v>
      </c>
      <c r="C783" t="s">
        <v>60</v>
      </c>
      <c r="D783">
        <v>2.1086730921272401</v>
      </c>
      <c r="E783">
        <v>2.08308923393971</v>
      </c>
      <c r="F783">
        <v>2.1345711633542801</v>
      </c>
    </row>
    <row r="784" spans="1:6" x14ac:dyDescent="0.25">
      <c r="A784" s="22">
        <v>42795</v>
      </c>
      <c r="B784" t="s">
        <v>8</v>
      </c>
      <c r="C784" t="s">
        <v>60</v>
      </c>
      <c r="D784">
        <v>2.0764075517722098</v>
      </c>
      <c r="E784">
        <v>2.0511479627367399</v>
      </c>
      <c r="F784">
        <v>2.1019782089752801</v>
      </c>
    </row>
    <row r="785" spans="1:6" x14ac:dyDescent="0.25">
      <c r="A785" s="22">
        <v>42826</v>
      </c>
      <c r="B785" t="s">
        <v>8</v>
      </c>
      <c r="C785" t="s">
        <v>60</v>
      </c>
      <c r="D785">
        <v>2.1125555586145999</v>
      </c>
      <c r="E785">
        <v>2.0868983755738002</v>
      </c>
      <c r="F785">
        <v>2.1385281815682</v>
      </c>
    </row>
    <row r="786" spans="1:6" x14ac:dyDescent="0.25">
      <c r="A786" s="22">
        <v>42856</v>
      </c>
      <c r="B786" t="s">
        <v>8</v>
      </c>
      <c r="C786" t="s">
        <v>60</v>
      </c>
      <c r="D786">
        <v>2.16045107870575</v>
      </c>
      <c r="E786">
        <v>2.1341766245522802</v>
      </c>
      <c r="F786">
        <v>2.1870490051216098</v>
      </c>
    </row>
    <row r="787" spans="1:6" x14ac:dyDescent="0.25">
      <c r="A787" s="22">
        <v>42887</v>
      </c>
      <c r="B787" t="s">
        <v>8</v>
      </c>
      <c r="C787" t="s">
        <v>60</v>
      </c>
      <c r="D787">
        <v>2.1177197334323701</v>
      </c>
      <c r="E787">
        <v>2.0919786313859801</v>
      </c>
      <c r="F787">
        <v>2.1437775711875302</v>
      </c>
    </row>
    <row r="788" spans="1:6" x14ac:dyDescent="0.25">
      <c r="A788" s="22">
        <v>42917</v>
      </c>
      <c r="B788" t="s">
        <v>8</v>
      </c>
      <c r="C788" t="s">
        <v>60</v>
      </c>
      <c r="D788">
        <v>2.1547731840354598</v>
      </c>
      <c r="E788">
        <v>2.1286039825987202</v>
      </c>
      <c r="F788">
        <v>2.1812641114059401</v>
      </c>
    </row>
    <row r="789" spans="1:6" x14ac:dyDescent="0.25">
      <c r="A789" s="22">
        <v>42948</v>
      </c>
      <c r="B789" t="s">
        <v>8</v>
      </c>
      <c r="C789" t="s">
        <v>60</v>
      </c>
      <c r="D789">
        <v>2.1428712488333401</v>
      </c>
      <c r="E789">
        <v>2.1167844232489199</v>
      </c>
      <c r="F789">
        <v>2.1692795632106598</v>
      </c>
    </row>
    <row r="790" spans="1:6" x14ac:dyDescent="0.25">
      <c r="A790" s="22">
        <v>42979</v>
      </c>
      <c r="B790" t="s">
        <v>8</v>
      </c>
      <c r="C790" t="s">
        <v>60</v>
      </c>
      <c r="D790">
        <v>2.1793126420537599</v>
      </c>
      <c r="E790">
        <v>2.1528055133338602</v>
      </c>
      <c r="F790">
        <v>2.2061461485484402</v>
      </c>
    </row>
    <row r="791" spans="1:6" x14ac:dyDescent="0.25">
      <c r="A791" s="22">
        <v>43009</v>
      </c>
      <c r="B791" t="s">
        <v>8</v>
      </c>
      <c r="C791" t="s">
        <v>60</v>
      </c>
      <c r="D791">
        <v>2.2235039313262801</v>
      </c>
      <c r="E791">
        <v>2.1964313907115498</v>
      </c>
      <c r="F791">
        <v>2.2509101597850401</v>
      </c>
    </row>
    <row r="792" spans="1:6" x14ac:dyDescent="0.25">
      <c r="A792" s="22">
        <v>43040</v>
      </c>
      <c r="B792" t="s">
        <v>8</v>
      </c>
      <c r="C792" t="s">
        <v>60</v>
      </c>
      <c r="D792">
        <v>2.2169344656718799</v>
      </c>
      <c r="E792">
        <v>2.1898601530614998</v>
      </c>
      <c r="F792">
        <v>2.24434351125702</v>
      </c>
    </row>
    <row r="793" spans="1:6" x14ac:dyDescent="0.25">
      <c r="A793" s="22">
        <v>43070</v>
      </c>
      <c r="B793" t="s">
        <v>8</v>
      </c>
      <c r="C793" t="s">
        <v>60</v>
      </c>
      <c r="D793">
        <v>2.0642673862735399</v>
      </c>
      <c r="E793">
        <v>2.0391130542637099</v>
      </c>
      <c r="F793">
        <v>2.0897320200675402</v>
      </c>
    </row>
    <row r="794" spans="1:6" x14ac:dyDescent="0.25">
      <c r="A794" s="22">
        <v>43101</v>
      </c>
      <c r="B794" t="s">
        <v>8</v>
      </c>
      <c r="C794" t="s">
        <v>60</v>
      </c>
      <c r="D794">
        <v>2.0545627987798301</v>
      </c>
      <c r="E794">
        <v>2.0295787339842102</v>
      </c>
      <c r="F794">
        <v>2.0798544168047299</v>
      </c>
    </row>
    <row r="795" spans="1:6" x14ac:dyDescent="0.25">
      <c r="A795" s="23">
        <v>43132</v>
      </c>
      <c r="B795" t="s">
        <v>8</v>
      </c>
      <c r="C795" t="s">
        <v>60</v>
      </c>
      <c r="D795">
        <v>2.0831653530999401</v>
      </c>
      <c r="E795">
        <v>2.0578274439289399</v>
      </c>
      <c r="F795">
        <v>2.1088152464671999</v>
      </c>
    </row>
    <row r="796" spans="1:6" x14ac:dyDescent="0.25">
      <c r="A796" s="22">
        <v>43160</v>
      </c>
      <c r="B796" t="s">
        <v>8</v>
      </c>
      <c r="C796" t="s">
        <v>60</v>
      </c>
      <c r="D796">
        <v>2.0567903770696101</v>
      </c>
      <c r="E796">
        <v>2.03177085955436</v>
      </c>
      <c r="F796">
        <v>2.0821179885088199</v>
      </c>
    </row>
    <row r="797" spans="1:6" x14ac:dyDescent="0.25">
      <c r="A797" s="22">
        <v>43191</v>
      </c>
      <c r="B797" t="s">
        <v>8</v>
      </c>
      <c r="C797" t="s">
        <v>60</v>
      </c>
      <c r="D797">
        <v>2.1323305982666101</v>
      </c>
      <c r="E797">
        <v>2.1064617553982798</v>
      </c>
      <c r="F797">
        <v>2.1585171288544802</v>
      </c>
    </row>
    <row r="798" spans="1:6" x14ac:dyDescent="0.25">
      <c r="A798" s="22">
        <v>43221</v>
      </c>
      <c r="B798" t="s">
        <v>8</v>
      </c>
      <c r="C798" t="s">
        <v>60</v>
      </c>
      <c r="D798">
        <v>2.1089008241084501</v>
      </c>
      <c r="E798">
        <v>2.0833007349305399</v>
      </c>
      <c r="F798">
        <v>2.1348154932003101</v>
      </c>
    </row>
    <row r="799" spans="1:6" x14ac:dyDescent="0.25">
      <c r="A799" s="22">
        <v>43252</v>
      </c>
      <c r="B799" t="s">
        <v>8</v>
      </c>
      <c r="C799" t="s">
        <v>60</v>
      </c>
      <c r="D799">
        <v>2.1198538407184002</v>
      </c>
      <c r="E799">
        <v>2.0941233761348901</v>
      </c>
      <c r="F799">
        <v>2.1459004551597598</v>
      </c>
    </row>
    <row r="800" spans="1:6" x14ac:dyDescent="0.25">
      <c r="A800" s="22">
        <v>43282</v>
      </c>
      <c r="B800" t="s">
        <v>8</v>
      </c>
      <c r="C800" t="s">
        <v>60</v>
      </c>
      <c r="D800">
        <v>2.1796461525498398</v>
      </c>
      <c r="E800">
        <v>2.1531741416007102</v>
      </c>
      <c r="F800">
        <v>2.2064436213196599</v>
      </c>
    </row>
    <row r="801" spans="1:6" x14ac:dyDescent="0.25">
      <c r="A801" s="22">
        <v>43313</v>
      </c>
      <c r="B801" t="s">
        <v>8</v>
      </c>
      <c r="C801" t="s">
        <v>60</v>
      </c>
      <c r="D801">
        <v>2.2052127505218002</v>
      </c>
      <c r="E801">
        <v>2.17836820254327</v>
      </c>
      <c r="F801">
        <v>2.23238811023149</v>
      </c>
    </row>
    <row r="802" spans="1:6" x14ac:dyDescent="0.25">
      <c r="A802" s="22">
        <v>43344</v>
      </c>
      <c r="B802" t="s">
        <v>8</v>
      </c>
      <c r="C802" t="s">
        <v>60</v>
      </c>
      <c r="D802">
        <v>2.1672009084222799</v>
      </c>
      <c r="E802">
        <v>2.14023427635331</v>
      </c>
      <c r="F802">
        <v>2.19450731602572</v>
      </c>
    </row>
    <row r="803" spans="1:6" x14ac:dyDescent="0.25">
      <c r="A803" s="22">
        <v>43374</v>
      </c>
      <c r="B803" t="s">
        <v>8</v>
      </c>
      <c r="C803" t="s">
        <v>60</v>
      </c>
      <c r="D803">
        <v>2.1517561574744102</v>
      </c>
      <c r="E803">
        <v>2.02714658510493</v>
      </c>
      <c r="F803">
        <v>2.28402553384633</v>
      </c>
    </row>
    <row r="804" spans="1:6" x14ac:dyDescent="0.25">
      <c r="A804" s="22">
        <v>43405</v>
      </c>
      <c r="B804" t="s">
        <v>8</v>
      </c>
      <c r="C804" t="s">
        <v>60</v>
      </c>
      <c r="D804">
        <v>2.1208336372107701</v>
      </c>
      <c r="E804">
        <v>1.9418738564467799</v>
      </c>
      <c r="F804">
        <v>2.31628604597155</v>
      </c>
    </row>
    <row r="805" spans="1:6" x14ac:dyDescent="0.25">
      <c r="A805" s="22">
        <v>43435</v>
      </c>
      <c r="B805" t="s">
        <v>8</v>
      </c>
      <c r="C805" t="s">
        <v>60</v>
      </c>
      <c r="D805">
        <v>2.0270649997085699</v>
      </c>
      <c r="E805">
        <v>1.81366662305391</v>
      </c>
      <c r="F805">
        <v>2.26557210725124</v>
      </c>
    </row>
    <row r="806" spans="1:6" x14ac:dyDescent="0.25">
      <c r="A806" s="22">
        <v>43466</v>
      </c>
      <c r="B806" t="s">
        <v>8</v>
      </c>
      <c r="C806" t="s">
        <v>60</v>
      </c>
      <c r="D806">
        <v>2.0532673144092</v>
      </c>
      <c r="E806">
        <v>1.8144341746324699</v>
      </c>
      <c r="F806">
        <v>2.32353795103929</v>
      </c>
    </row>
    <row r="807" spans="1:6" x14ac:dyDescent="0.25">
      <c r="A807" s="23">
        <v>43497</v>
      </c>
      <c r="B807" t="s">
        <v>8</v>
      </c>
      <c r="C807" t="s">
        <v>60</v>
      </c>
      <c r="D807">
        <v>2.0356311994071299</v>
      </c>
      <c r="E807">
        <v>1.76726049676039</v>
      </c>
      <c r="F807">
        <v>2.3447558453299902</v>
      </c>
    </row>
    <row r="808" spans="1:6" x14ac:dyDescent="0.25">
      <c r="A808" s="22">
        <v>43525</v>
      </c>
      <c r="B808" t="s">
        <v>8</v>
      </c>
      <c r="C808" t="s">
        <v>60</v>
      </c>
      <c r="D808">
        <v>1.96150920174003</v>
      </c>
      <c r="E808">
        <v>1.6748640812048201</v>
      </c>
      <c r="F808">
        <v>2.2972122882610799</v>
      </c>
    </row>
    <row r="809" spans="1:6" x14ac:dyDescent="0.25">
      <c r="A809" s="22">
        <v>43556</v>
      </c>
      <c r="B809" t="s">
        <v>8</v>
      </c>
      <c r="C809" t="s">
        <v>60</v>
      </c>
      <c r="D809">
        <v>1.9691570713945701</v>
      </c>
      <c r="E809">
        <v>1.66276867563995</v>
      </c>
      <c r="F809">
        <v>2.3320018163866698</v>
      </c>
    </row>
    <row r="810" spans="1:6" x14ac:dyDescent="0.25">
      <c r="A810" s="22">
        <v>43586</v>
      </c>
      <c r="B810" t="s">
        <v>8</v>
      </c>
      <c r="C810" t="s">
        <v>60</v>
      </c>
      <c r="D810">
        <v>1.9541976319727701</v>
      </c>
      <c r="E810">
        <v>1.6328512667472801</v>
      </c>
      <c r="F810">
        <v>2.3387852051065199</v>
      </c>
    </row>
    <row r="811" spans="1:6" x14ac:dyDescent="0.25">
      <c r="A811" s="22">
        <v>43617</v>
      </c>
      <c r="B811" t="s">
        <v>8</v>
      </c>
      <c r="C811" t="s">
        <v>60</v>
      </c>
      <c r="D811">
        <v>1.9516619152472801</v>
      </c>
      <c r="E811">
        <v>1.6082665810394801</v>
      </c>
      <c r="F811">
        <v>2.3683786483735898</v>
      </c>
    </row>
    <row r="812" spans="1:6" x14ac:dyDescent="0.25">
      <c r="A812" s="22">
        <v>43647</v>
      </c>
      <c r="B812" t="s">
        <v>8</v>
      </c>
      <c r="C812" t="s">
        <v>60</v>
      </c>
      <c r="D812">
        <v>1.9928127967409699</v>
      </c>
      <c r="E812">
        <v>1.62931213795302</v>
      </c>
      <c r="F812">
        <v>2.4374107025581302</v>
      </c>
    </row>
    <row r="813" spans="1:6" x14ac:dyDescent="0.25">
      <c r="A813" s="22">
        <v>43678</v>
      </c>
      <c r="B813" t="s">
        <v>8</v>
      </c>
      <c r="C813" t="s">
        <v>60</v>
      </c>
      <c r="D813">
        <v>2.0261466880856802</v>
      </c>
      <c r="E813">
        <v>1.6389836493282599</v>
      </c>
      <c r="F813">
        <v>2.5047659281550101</v>
      </c>
    </row>
    <row r="814" spans="1:6" x14ac:dyDescent="0.25">
      <c r="A814" s="22">
        <v>43709</v>
      </c>
      <c r="B814" t="s">
        <v>8</v>
      </c>
      <c r="C814" t="s">
        <v>60</v>
      </c>
      <c r="D814">
        <v>2.04076776443129</v>
      </c>
      <c r="E814">
        <v>1.6350750924628601</v>
      </c>
      <c r="F814">
        <v>2.5471203662387798</v>
      </c>
    </row>
    <row r="815" spans="1:6" x14ac:dyDescent="0.25">
      <c r="A815" s="22">
        <v>43739</v>
      </c>
      <c r="B815" t="s">
        <v>8</v>
      </c>
      <c r="C815" t="s">
        <v>60</v>
      </c>
      <c r="D815">
        <v>2.02610875065748</v>
      </c>
      <c r="E815">
        <v>1.5909710101065599</v>
      </c>
      <c r="F815">
        <v>2.5802586240813201</v>
      </c>
    </row>
    <row r="816" spans="1:6" x14ac:dyDescent="0.25">
      <c r="A816" s="22">
        <v>43770</v>
      </c>
      <c r="B816" t="s">
        <v>8</v>
      </c>
      <c r="C816" t="s">
        <v>60</v>
      </c>
      <c r="D816">
        <v>1.99687446354721</v>
      </c>
      <c r="E816">
        <v>1.5331355567474201</v>
      </c>
      <c r="F816">
        <v>2.60088392420207</v>
      </c>
    </row>
    <row r="817" spans="1:6" x14ac:dyDescent="0.25">
      <c r="A817" s="22">
        <v>43800</v>
      </c>
      <c r="B817" t="s">
        <v>8</v>
      </c>
      <c r="C817" t="s">
        <v>60</v>
      </c>
      <c r="D817">
        <v>1.9084778399488</v>
      </c>
      <c r="E817">
        <v>1.43722781406658</v>
      </c>
      <c r="F817">
        <v>2.53424518362884</v>
      </c>
    </row>
    <row r="818" spans="1:6" x14ac:dyDescent="0.25">
      <c r="A818" s="22">
        <v>43831</v>
      </c>
      <c r="B818" t="s">
        <v>8</v>
      </c>
      <c r="C818" t="s">
        <v>60</v>
      </c>
      <c r="D818">
        <v>1.9336186045819701</v>
      </c>
      <c r="E818">
        <v>1.4471519321742801</v>
      </c>
      <c r="F818">
        <v>2.5836132508685701</v>
      </c>
    </row>
    <row r="819" spans="1:6" x14ac:dyDescent="0.25">
      <c r="A819" s="23">
        <v>43862</v>
      </c>
      <c r="B819" t="s">
        <v>8</v>
      </c>
      <c r="C819" t="s">
        <v>60</v>
      </c>
      <c r="D819">
        <v>1.91747758812272</v>
      </c>
      <c r="E819">
        <v>1.4153357423077499</v>
      </c>
      <c r="F819">
        <v>2.59777252212813</v>
      </c>
    </row>
    <row r="820" spans="1:6" x14ac:dyDescent="0.25">
      <c r="A820" s="22">
        <v>43891</v>
      </c>
      <c r="B820" t="s">
        <v>8</v>
      </c>
      <c r="C820" t="s">
        <v>60</v>
      </c>
      <c r="D820">
        <v>1.84806472488963</v>
      </c>
      <c r="E820">
        <v>1.3460260365557599</v>
      </c>
      <c r="F820">
        <v>2.5373530189064102</v>
      </c>
    </row>
    <row r="821" spans="1:6" x14ac:dyDescent="0.25">
      <c r="A821" s="22">
        <v>43922</v>
      </c>
      <c r="B821" t="s">
        <v>8</v>
      </c>
      <c r="C821" t="s">
        <v>60</v>
      </c>
      <c r="D821">
        <v>1.85664467163311</v>
      </c>
      <c r="E821">
        <v>1.3475106871189699</v>
      </c>
      <c r="F821">
        <v>2.5581462690093599</v>
      </c>
    </row>
    <row r="822" spans="1:6" x14ac:dyDescent="0.25">
      <c r="A822" s="22">
        <v>43952</v>
      </c>
      <c r="B822" t="s">
        <v>8</v>
      </c>
      <c r="C822" t="s">
        <v>60</v>
      </c>
      <c r="D822">
        <v>1.8438608912308601</v>
      </c>
      <c r="E822">
        <v>1.33317008375832</v>
      </c>
      <c r="F822">
        <v>2.55017947644478</v>
      </c>
    </row>
    <row r="823" spans="1:6" x14ac:dyDescent="0.25">
      <c r="A823" s="22">
        <v>43983</v>
      </c>
      <c r="B823" t="s">
        <v>8</v>
      </c>
      <c r="C823" t="s">
        <v>60</v>
      </c>
      <c r="D823">
        <v>1.84283251402517</v>
      </c>
      <c r="E823">
        <v>1.3223638090734899</v>
      </c>
      <c r="F823">
        <v>2.5681523128856201</v>
      </c>
    </row>
    <row r="824" spans="1:6" x14ac:dyDescent="0.25">
      <c r="A824" s="22">
        <v>44013</v>
      </c>
      <c r="B824" t="s">
        <v>8</v>
      </c>
      <c r="C824" t="s">
        <v>60</v>
      </c>
      <c r="D824">
        <v>1.8836463148652101</v>
      </c>
      <c r="E824">
        <v>1.3516748854529801</v>
      </c>
      <c r="F824">
        <v>2.62498288433925</v>
      </c>
    </row>
    <row r="825" spans="1:6" x14ac:dyDescent="0.25">
      <c r="A825" s="22">
        <v>44044</v>
      </c>
      <c r="B825" t="s">
        <v>8</v>
      </c>
      <c r="C825" t="s">
        <v>60</v>
      </c>
      <c r="D825">
        <v>1.91721302929057</v>
      </c>
      <c r="E825">
        <v>1.37141372179944</v>
      </c>
      <c r="F825">
        <v>2.6802311667544299</v>
      </c>
    </row>
    <row r="826" spans="1:6" x14ac:dyDescent="0.25">
      <c r="A826" s="22">
        <v>44075</v>
      </c>
      <c r="B826" t="s">
        <v>8</v>
      </c>
      <c r="C826" t="s">
        <v>60</v>
      </c>
      <c r="D826">
        <v>1.9331239621326499</v>
      </c>
      <c r="E826">
        <v>1.3787830529145799</v>
      </c>
      <c r="F826">
        <v>2.7103381094450998</v>
      </c>
    </row>
    <row r="827" spans="1:6" x14ac:dyDescent="0.25">
      <c r="A827" s="22">
        <v>44105</v>
      </c>
      <c r="B827" t="s">
        <v>8</v>
      </c>
      <c r="C827" t="s">
        <v>60</v>
      </c>
      <c r="D827">
        <v>1.9215496043897</v>
      </c>
      <c r="E827">
        <v>1.35562049206909</v>
      </c>
      <c r="F827">
        <v>2.7237364024311601</v>
      </c>
    </row>
    <row r="828" spans="1:6" x14ac:dyDescent="0.25">
      <c r="A828" s="22">
        <v>44136</v>
      </c>
      <c r="B828" t="s">
        <v>8</v>
      </c>
      <c r="C828" t="s">
        <v>60</v>
      </c>
      <c r="D828">
        <v>1.8961808872766901</v>
      </c>
      <c r="E828">
        <v>1.32160077920579</v>
      </c>
      <c r="F828">
        <v>2.7205658575913501</v>
      </c>
    </row>
    <row r="829" spans="1:6" x14ac:dyDescent="0.25">
      <c r="A829" s="22">
        <v>44166</v>
      </c>
      <c r="B829" t="s">
        <v>8</v>
      </c>
      <c r="C829" t="s">
        <v>60</v>
      </c>
      <c r="D829">
        <v>1.81442429534036</v>
      </c>
      <c r="E829">
        <v>1.25213890674579</v>
      </c>
      <c r="F829">
        <v>2.62920951164863</v>
      </c>
    </row>
    <row r="830" spans="1:6" x14ac:dyDescent="0.25">
      <c r="A830" s="22">
        <v>41821</v>
      </c>
      <c r="B830" t="s">
        <v>9</v>
      </c>
      <c r="C830" t="s">
        <v>59</v>
      </c>
      <c r="D830">
        <v>9.6466622268345308</v>
      </c>
      <c r="E830">
        <f>D830</f>
        <v>9.6466622268345308</v>
      </c>
      <c r="F830">
        <f>E830</f>
        <v>9.6466622268345308</v>
      </c>
    </row>
    <row r="831" spans="1:6" x14ac:dyDescent="0.25">
      <c r="A831" s="22">
        <v>41852</v>
      </c>
      <c r="B831" t="s">
        <v>9</v>
      </c>
      <c r="C831" t="s">
        <v>59</v>
      </c>
      <c r="D831">
        <v>9.6449302321930208</v>
      </c>
      <c r="E831">
        <f t="shared" ref="E831:F846" si="0">D831</f>
        <v>9.6449302321930208</v>
      </c>
      <c r="F831">
        <f t="shared" si="0"/>
        <v>9.6449302321930208</v>
      </c>
    </row>
    <row r="832" spans="1:6" x14ac:dyDescent="0.25">
      <c r="A832" s="22">
        <v>41883</v>
      </c>
      <c r="B832" t="s">
        <v>9</v>
      </c>
      <c r="C832" t="s">
        <v>59</v>
      </c>
      <c r="D832">
        <v>9.1851371069322898</v>
      </c>
      <c r="E832">
        <f t="shared" si="0"/>
        <v>9.1851371069322898</v>
      </c>
      <c r="F832">
        <f t="shared" si="0"/>
        <v>9.1851371069322898</v>
      </c>
    </row>
    <row r="833" spans="1:6" x14ac:dyDescent="0.25">
      <c r="A833" s="22">
        <v>41913</v>
      </c>
      <c r="B833" t="s">
        <v>9</v>
      </c>
      <c r="C833" t="s">
        <v>59</v>
      </c>
      <c r="D833">
        <v>9.2019603228204101</v>
      </c>
      <c r="E833">
        <f t="shared" si="0"/>
        <v>9.2019603228204101</v>
      </c>
      <c r="F833">
        <f t="shared" si="0"/>
        <v>9.2019603228204101</v>
      </c>
    </row>
    <row r="834" spans="1:6" x14ac:dyDescent="0.25">
      <c r="A834" s="22">
        <v>41944</v>
      </c>
      <c r="B834" t="s">
        <v>9</v>
      </c>
      <c r="C834" t="s">
        <v>59</v>
      </c>
      <c r="D834">
        <v>8.8969958323921308</v>
      </c>
      <c r="E834">
        <f t="shared" si="0"/>
        <v>8.8969958323921308</v>
      </c>
      <c r="F834">
        <f t="shared" si="0"/>
        <v>8.8969958323921308</v>
      </c>
    </row>
    <row r="835" spans="1:6" x14ac:dyDescent="0.25">
      <c r="A835" s="22">
        <v>41974</v>
      </c>
      <c r="B835" t="s">
        <v>9</v>
      </c>
      <c r="C835" t="s">
        <v>59</v>
      </c>
      <c r="D835">
        <v>8.7503118548719403</v>
      </c>
      <c r="E835">
        <f t="shared" si="0"/>
        <v>8.7503118548719403</v>
      </c>
      <c r="F835">
        <f t="shared" si="0"/>
        <v>8.7503118548719403</v>
      </c>
    </row>
    <row r="836" spans="1:6" x14ac:dyDescent="0.25">
      <c r="A836" s="22">
        <v>42005</v>
      </c>
      <c r="B836" t="s">
        <v>9</v>
      </c>
      <c r="C836" t="s">
        <v>59</v>
      </c>
      <c r="D836">
        <v>8.5104894252019108</v>
      </c>
      <c r="E836">
        <f t="shared" si="0"/>
        <v>8.5104894252019108</v>
      </c>
      <c r="F836">
        <f t="shared" si="0"/>
        <v>8.5104894252019108</v>
      </c>
    </row>
    <row r="837" spans="1:6" x14ac:dyDescent="0.25">
      <c r="A837" s="22">
        <v>42036</v>
      </c>
      <c r="B837" t="s">
        <v>9</v>
      </c>
      <c r="C837" t="s">
        <v>59</v>
      </c>
      <c r="D837">
        <v>8.4672283387145306</v>
      </c>
      <c r="E837">
        <f t="shared" si="0"/>
        <v>8.4672283387145306</v>
      </c>
      <c r="F837">
        <f t="shared" si="0"/>
        <v>8.4672283387145306</v>
      </c>
    </row>
    <row r="838" spans="1:6" x14ac:dyDescent="0.25">
      <c r="A838" s="22">
        <v>42064</v>
      </c>
      <c r="B838" t="s">
        <v>9</v>
      </c>
      <c r="C838" t="s">
        <v>59</v>
      </c>
      <c r="D838">
        <v>7.8566452640301101</v>
      </c>
      <c r="E838">
        <f t="shared" si="0"/>
        <v>7.8566452640301101</v>
      </c>
      <c r="F838">
        <f t="shared" si="0"/>
        <v>7.8566452640301101</v>
      </c>
    </row>
    <row r="839" spans="1:6" x14ac:dyDescent="0.25">
      <c r="A839" s="22">
        <v>42095</v>
      </c>
      <c r="B839" t="s">
        <v>9</v>
      </c>
      <c r="C839" t="s">
        <v>59</v>
      </c>
      <c r="D839">
        <v>7.8772370246990304</v>
      </c>
      <c r="E839">
        <f t="shared" si="0"/>
        <v>7.8772370246990304</v>
      </c>
      <c r="F839">
        <f t="shared" si="0"/>
        <v>7.8772370246990304</v>
      </c>
    </row>
    <row r="840" spans="1:6" x14ac:dyDescent="0.25">
      <c r="A840" s="22">
        <v>42125</v>
      </c>
      <c r="B840" t="s">
        <v>9</v>
      </c>
      <c r="C840" t="s">
        <v>59</v>
      </c>
      <c r="D840">
        <v>7.7855361850577802</v>
      </c>
      <c r="E840">
        <f t="shared" si="0"/>
        <v>7.7855361850577802</v>
      </c>
      <c r="F840">
        <f t="shared" si="0"/>
        <v>7.7855361850577802</v>
      </c>
    </row>
    <row r="841" spans="1:6" x14ac:dyDescent="0.25">
      <c r="A841" s="22">
        <v>42156</v>
      </c>
      <c r="B841" t="s">
        <v>9</v>
      </c>
      <c r="C841" t="s">
        <v>59</v>
      </c>
      <c r="D841">
        <v>7.5136976942755496</v>
      </c>
      <c r="E841">
        <f t="shared" si="0"/>
        <v>7.5136976942755496</v>
      </c>
      <c r="F841">
        <f t="shared" si="0"/>
        <v>7.5136976942755496</v>
      </c>
    </row>
    <row r="842" spans="1:6" x14ac:dyDescent="0.25">
      <c r="A842" s="22">
        <v>42186</v>
      </c>
      <c r="B842" t="s">
        <v>9</v>
      </c>
      <c r="C842" t="s">
        <v>59</v>
      </c>
      <c r="D842">
        <v>7.3454746971575098</v>
      </c>
      <c r="E842">
        <f t="shared" si="0"/>
        <v>7.3454746971575098</v>
      </c>
      <c r="F842">
        <f t="shared" si="0"/>
        <v>7.3454746971575098</v>
      </c>
    </row>
    <row r="843" spans="1:6" x14ac:dyDescent="0.25">
      <c r="A843" s="22">
        <v>42217</v>
      </c>
      <c r="B843" t="s">
        <v>9</v>
      </c>
      <c r="C843" t="s">
        <v>59</v>
      </c>
      <c r="D843">
        <v>7.3359026470205002</v>
      </c>
      <c r="E843">
        <f t="shared" si="0"/>
        <v>7.3359026470205002</v>
      </c>
      <c r="F843">
        <f t="shared" si="0"/>
        <v>7.3359026470205002</v>
      </c>
    </row>
    <row r="844" spans="1:6" x14ac:dyDescent="0.25">
      <c r="A844" s="22">
        <v>42248</v>
      </c>
      <c r="B844" t="s">
        <v>9</v>
      </c>
      <c r="C844" t="s">
        <v>59</v>
      </c>
      <c r="D844">
        <v>7.4068143931673696</v>
      </c>
      <c r="E844">
        <f t="shared" si="0"/>
        <v>7.4068143931673696</v>
      </c>
      <c r="F844">
        <f t="shared" si="0"/>
        <v>7.4068143931673696</v>
      </c>
    </row>
    <row r="845" spans="1:6" x14ac:dyDescent="0.25">
      <c r="A845" s="22">
        <v>42278</v>
      </c>
      <c r="B845" t="s">
        <v>9</v>
      </c>
      <c r="C845" t="s">
        <v>59</v>
      </c>
      <c r="D845">
        <v>7.4170734440895103</v>
      </c>
      <c r="E845">
        <f t="shared" si="0"/>
        <v>7.4170734440895103</v>
      </c>
      <c r="F845">
        <f t="shared" si="0"/>
        <v>7.4170734440895103</v>
      </c>
    </row>
    <row r="846" spans="1:6" x14ac:dyDescent="0.25">
      <c r="A846" s="22">
        <v>42309</v>
      </c>
      <c r="B846" t="s">
        <v>9</v>
      </c>
      <c r="C846" t="s">
        <v>59</v>
      </c>
      <c r="D846">
        <v>7.3410568415817403</v>
      </c>
      <c r="E846">
        <f t="shared" si="0"/>
        <v>7.3410568415817403</v>
      </c>
      <c r="F846">
        <f t="shared" si="0"/>
        <v>7.3410568415817403</v>
      </c>
    </row>
    <row r="847" spans="1:6" x14ac:dyDescent="0.25">
      <c r="A847" s="22">
        <v>42339</v>
      </c>
      <c r="B847" t="s">
        <v>9</v>
      </c>
      <c r="C847" t="s">
        <v>59</v>
      </c>
      <c r="D847">
        <v>6.9740555459598097</v>
      </c>
      <c r="E847">
        <f t="shared" ref="E847:F862" si="1">D847</f>
        <v>6.9740555459598097</v>
      </c>
      <c r="F847">
        <f t="shared" si="1"/>
        <v>6.9740555459598097</v>
      </c>
    </row>
    <row r="848" spans="1:6" x14ac:dyDescent="0.25">
      <c r="A848" s="22">
        <v>42370</v>
      </c>
      <c r="B848" t="s">
        <v>9</v>
      </c>
      <c r="C848" t="s">
        <v>59</v>
      </c>
      <c r="D848">
        <v>6.9505884237225501</v>
      </c>
      <c r="E848">
        <f t="shared" si="1"/>
        <v>6.9505884237225501</v>
      </c>
      <c r="F848">
        <f t="shared" si="1"/>
        <v>6.9505884237225501</v>
      </c>
    </row>
    <row r="849" spans="1:6" x14ac:dyDescent="0.25">
      <c r="A849" s="22">
        <v>42401</v>
      </c>
      <c r="B849" t="s">
        <v>9</v>
      </c>
      <c r="C849" t="s">
        <v>59</v>
      </c>
      <c r="D849">
        <v>7.0316936198236597</v>
      </c>
      <c r="E849">
        <f t="shared" si="1"/>
        <v>7.0316936198236597</v>
      </c>
      <c r="F849">
        <f t="shared" si="1"/>
        <v>7.0316936198236597</v>
      </c>
    </row>
    <row r="850" spans="1:6" x14ac:dyDescent="0.25">
      <c r="A850" s="22">
        <v>42430</v>
      </c>
      <c r="B850" t="s">
        <v>9</v>
      </c>
      <c r="C850" t="s">
        <v>59</v>
      </c>
      <c r="D850">
        <v>7.1882209267736101</v>
      </c>
      <c r="E850">
        <f t="shared" si="1"/>
        <v>7.1882209267736101</v>
      </c>
      <c r="F850">
        <f t="shared" si="1"/>
        <v>7.1882209267736101</v>
      </c>
    </row>
    <row r="851" spans="1:6" x14ac:dyDescent="0.25">
      <c r="A851" s="22">
        <v>42461</v>
      </c>
      <c r="B851" t="s">
        <v>9</v>
      </c>
      <c r="C851" t="s">
        <v>59</v>
      </c>
      <c r="D851">
        <v>7.9291433250201804</v>
      </c>
      <c r="E851">
        <f t="shared" si="1"/>
        <v>7.9291433250201804</v>
      </c>
      <c r="F851">
        <f t="shared" si="1"/>
        <v>7.9291433250201804</v>
      </c>
    </row>
    <row r="852" spans="1:6" x14ac:dyDescent="0.25">
      <c r="A852" s="22">
        <v>42491</v>
      </c>
      <c r="B852" t="s">
        <v>9</v>
      </c>
      <c r="C852" t="s">
        <v>59</v>
      </c>
      <c r="D852">
        <v>7.8895362252284302</v>
      </c>
      <c r="E852">
        <f t="shared" si="1"/>
        <v>7.8895362252284302</v>
      </c>
      <c r="F852">
        <f t="shared" si="1"/>
        <v>7.8895362252284302</v>
      </c>
    </row>
    <row r="853" spans="1:6" x14ac:dyDescent="0.25">
      <c r="A853" s="22">
        <v>42522</v>
      </c>
      <c r="B853" t="s">
        <v>9</v>
      </c>
      <c r="C853" t="s">
        <v>59</v>
      </c>
      <c r="D853">
        <v>7.8240840835208996</v>
      </c>
      <c r="E853">
        <f t="shared" si="1"/>
        <v>7.8240840835208996</v>
      </c>
      <c r="F853">
        <f t="shared" si="1"/>
        <v>7.8240840835208996</v>
      </c>
    </row>
    <row r="854" spans="1:6" x14ac:dyDescent="0.25">
      <c r="A854" s="22">
        <v>42552</v>
      </c>
      <c r="B854" t="s">
        <v>9</v>
      </c>
      <c r="C854" t="s">
        <v>59</v>
      </c>
      <c r="D854">
        <v>8.0105609514893192</v>
      </c>
      <c r="E854">
        <f t="shared" si="1"/>
        <v>8.0105609514893192</v>
      </c>
      <c r="F854">
        <f t="shared" si="1"/>
        <v>8.0105609514893192</v>
      </c>
    </row>
    <row r="855" spans="1:6" x14ac:dyDescent="0.25">
      <c r="A855" s="22">
        <v>42583</v>
      </c>
      <c r="B855" t="s">
        <v>9</v>
      </c>
      <c r="C855" t="s">
        <v>59</v>
      </c>
      <c r="D855">
        <v>8.12881019921217</v>
      </c>
      <c r="E855">
        <f t="shared" si="1"/>
        <v>8.12881019921217</v>
      </c>
      <c r="F855">
        <f t="shared" si="1"/>
        <v>8.12881019921217</v>
      </c>
    </row>
    <row r="856" spans="1:6" x14ac:dyDescent="0.25">
      <c r="A856" s="22">
        <v>42614</v>
      </c>
      <c r="B856" t="s">
        <v>9</v>
      </c>
      <c r="C856" t="s">
        <v>59</v>
      </c>
      <c r="D856">
        <v>8.2634557547153396</v>
      </c>
      <c r="E856">
        <f t="shared" si="1"/>
        <v>8.2634557547153396</v>
      </c>
      <c r="F856">
        <f t="shared" si="1"/>
        <v>8.2634557547153396</v>
      </c>
    </row>
    <row r="857" spans="1:6" x14ac:dyDescent="0.25">
      <c r="A857" s="22">
        <v>42644</v>
      </c>
      <c r="B857" t="s">
        <v>9</v>
      </c>
      <c r="C857" t="s">
        <v>59</v>
      </c>
      <c r="D857">
        <v>8.5109717635810807</v>
      </c>
      <c r="E857">
        <f t="shared" si="1"/>
        <v>8.5109717635810807</v>
      </c>
      <c r="F857">
        <f t="shared" si="1"/>
        <v>8.5109717635810807</v>
      </c>
    </row>
    <row r="858" spans="1:6" x14ac:dyDescent="0.25">
      <c r="A858" s="22">
        <v>42675</v>
      </c>
      <c r="B858" t="s">
        <v>9</v>
      </c>
      <c r="C858" t="s">
        <v>59</v>
      </c>
      <c r="D858">
        <v>8.3562862591463993</v>
      </c>
      <c r="E858">
        <f t="shared" si="1"/>
        <v>8.3562862591463993</v>
      </c>
      <c r="F858">
        <f t="shared" si="1"/>
        <v>8.3562862591463993</v>
      </c>
    </row>
    <row r="859" spans="1:6" x14ac:dyDescent="0.25">
      <c r="A859" s="22">
        <v>42705</v>
      </c>
      <c r="B859" t="s">
        <v>9</v>
      </c>
      <c r="C859" t="s">
        <v>59</v>
      </c>
      <c r="D859">
        <v>8.2539040388072795</v>
      </c>
      <c r="E859">
        <f t="shared" si="1"/>
        <v>8.2539040388072795</v>
      </c>
      <c r="F859">
        <f t="shared" si="1"/>
        <v>8.2539040388072795</v>
      </c>
    </row>
    <row r="860" spans="1:6" x14ac:dyDescent="0.25">
      <c r="A860" s="22">
        <v>42736</v>
      </c>
      <c r="B860" t="s">
        <v>9</v>
      </c>
      <c r="C860" t="s">
        <v>59</v>
      </c>
      <c r="D860">
        <v>8.2345542666259899</v>
      </c>
      <c r="E860">
        <f t="shared" si="1"/>
        <v>8.2345542666259899</v>
      </c>
      <c r="F860">
        <f t="shared" si="1"/>
        <v>8.2345542666259899</v>
      </c>
    </row>
    <row r="861" spans="1:6" x14ac:dyDescent="0.25">
      <c r="A861" s="22">
        <v>42767</v>
      </c>
      <c r="B861" t="s">
        <v>9</v>
      </c>
      <c r="C861" t="s">
        <v>59</v>
      </c>
      <c r="D861">
        <v>8.3813057034484402</v>
      </c>
      <c r="E861">
        <f t="shared" si="1"/>
        <v>8.3813057034484402</v>
      </c>
      <c r="F861">
        <f t="shared" si="1"/>
        <v>8.3813057034484402</v>
      </c>
    </row>
    <row r="862" spans="1:6" x14ac:dyDescent="0.25">
      <c r="A862" s="22">
        <v>42795</v>
      </c>
      <c r="B862" t="s">
        <v>9</v>
      </c>
      <c r="C862" t="s">
        <v>59</v>
      </c>
      <c r="D862">
        <v>8.3354572066193207</v>
      </c>
      <c r="E862">
        <f t="shared" si="1"/>
        <v>8.3354572066193207</v>
      </c>
      <c r="F862">
        <f t="shared" si="1"/>
        <v>8.3354572066193207</v>
      </c>
    </row>
    <row r="863" spans="1:6" x14ac:dyDescent="0.25">
      <c r="A863" s="22">
        <v>42826</v>
      </c>
      <c r="B863" t="s">
        <v>9</v>
      </c>
      <c r="C863" t="s">
        <v>59</v>
      </c>
      <c r="D863">
        <v>8.5118480431071593</v>
      </c>
      <c r="E863">
        <f t="shared" ref="E863:F878" si="2">D863</f>
        <v>8.5118480431071593</v>
      </c>
      <c r="F863">
        <f t="shared" si="2"/>
        <v>8.5118480431071593</v>
      </c>
    </row>
    <row r="864" spans="1:6" x14ac:dyDescent="0.25">
      <c r="A864" s="22">
        <v>42856</v>
      </c>
      <c r="B864" t="s">
        <v>9</v>
      </c>
      <c r="C864" t="s">
        <v>59</v>
      </c>
      <c r="D864">
        <v>8.6161158233767008</v>
      </c>
      <c r="E864">
        <f t="shared" si="2"/>
        <v>8.6161158233767008</v>
      </c>
      <c r="F864">
        <f t="shared" si="2"/>
        <v>8.6161158233767008</v>
      </c>
    </row>
    <row r="865" spans="1:6" x14ac:dyDescent="0.25">
      <c r="A865" s="22">
        <v>42887</v>
      </c>
      <c r="B865" t="s">
        <v>9</v>
      </c>
      <c r="C865" t="s">
        <v>59</v>
      </c>
      <c r="D865">
        <v>8.8379238967645097</v>
      </c>
      <c r="E865">
        <f t="shared" si="2"/>
        <v>8.8379238967645097</v>
      </c>
      <c r="F865">
        <f t="shared" si="2"/>
        <v>8.8379238967645097</v>
      </c>
    </row>
    <row r="866" spans="1:6" x14ac:dyDescent="0.25">
      <c r="A866" s="22">
        <v>42917</v>
      </c>
      <c r="B866" t="s">
        <v>9</v>
      </c>
      <c r="C866" t="s">
        <v>59</v>
      </c>
      <c r="D866">
        <v>8.9139136704378306</v>
      </c>
      <c r="E866">
        <f t="shared" si="2"/>
        <v>8.9139136704378306</v>
      </c>
      <c r="F866">
        <f t="shared" si="2"/>
        <v>8.9139136704378306</v>
      </c>
    </row>
    <row r="867" spans="1:6" x14ac:dyDescent="0.25">
      <c r="A867" s="22">
        <v>42948</v>
      </c>
      <c r="B867" t="s">
        <v>9</v>
      </c>
      <c r="C867" t="s">
        <v>59</v>
      </c>
      <c r="D867">
        <v>8.9212113437405094</v>
      </c>
      <c r="E867">
        <f t="shared" si="2"/>
        <v>8.9212113437405094</v>
      </c>
      <c r="F867">
        <f t="shared" si="2"/>
        <v>8.9212113437405094</v>
      </c>
    </row>
    <row r="868" spans="1:6" x14ac:dyDescent="0.25">
      <c r="A868" s="22">
        <v>42979</v>
      </c>
      <c r="B868" t="s">
        <v>9</v>
      </c>
      <c r="C868" t="s">
        <v>59</v>
      </c>
      <c r="D868">
        <v>8.9842638118496296</v>
      </c>
      <c r="E868">
        <f t="shared" si="2"/>
        <v>8.9842638118496296</v>
      </c>
      <c r="F868">
        <f t="shared" si="2"/>
        <v>8.9842638118496296</v>
      </c>
    </row>
    <row r="869" spans="1:6" x14ac:dyDescent="0.25">
      <c r="A869" s="22">
        <v>43009</v>
      </c>
      <c r="B869" t="s">
        <v>9</v>
      </c>
      <c r="C869" t="s">
        <v>59</v>
      </c>
      <c r="D869">
        <v>8.9938234159457302</v>
      </c>
      <c r="E869">
        <f t="shared" si="2"/>
        <v>8.9938234159457302</v>
      </c>
      <c r="F869">
        <f t="shared" si="2"/>
        <v>8.9938234159457302</v>
      </c>
    </row>
    <row r="870" spans="1:6" x14ac:dyDescent="0.25">
      <c r="A870" s="22">
        <v>43040</v>
      </c>
      <c r="B870" t="s">
        <v>9</v>
      </c>
      <c r="C870" t="s">
        <v>59</v>
      </c>
      <c r="D870">
        <v>8.7898395689625595</v>
      </c>
      <c r="E870">
        <f t="shared" si="2"/>
        <v>8.7898395689625595</v>
      </c>
      <c r="F870">
        <f t="shared" si="2"/>
        <v>8.7898395689625595</v>
      </c>
    </row>
    <row r="871" spans="1:6" x14ac:dyDescent="0.25">
      <c r="A871" s="22">
        <v>43070</v>
      </c>
      <c r="B871" t="s">
        <v>9</v>
      </c>
      <c r="C871" t="s">
        <v>59</v>
      </c>
      <c r="D871">
        <v>8.6554776561914402</v>
      </c>
      <c r="E871">
        <f t="shared" si="2"/>
        <v>8.6554776561914402</v>
      </c>
      <c r="F871">
        <f t="shared" si="2"/>
        <v>8.6554776561914402</v>
      </c>
    </row>
    <row r="872" spans="1:6" x14ac:dyDescent="0.25">
      <c r="A872" s="22">
        <v>43101</v>
      </c>
      <c r="B872" t="s">
        <v>9</v>
      </c>
      <c r="C872" t="s">
        <v>59</v>
      </c>
      <c r="D872">
        <v>8.5647639120112107</v>
      </c>
      <c r="E872">
        <f t="shared" si="2"/>
        <v>8.5647639120112107</v>
      </c>
      <c r="F872">
        <f t="shared" si="2"/>
        <v>8.5647639120112107</v>
      </c>
    </row>
    <row r="873" spans="1:6" x14ac:dyDescent="0.25">
      <c r="A873" s="23">
        <v>43132</v>
      </c>
      <c r="B873" t="s">
        <v>9</v>
      </c>
      <c r="C873" t="s">
        <v>59</v>
      </c>
      <c r="D873">
        <v>8.5754788326424691</v>
      </c>
      <c r="E873">
        <f t="shared" si="2"/>
        <v>8.5754788326424691</v>
      </c>
      <c r="F873">
        <f t="shared" si="2"/>
        <v>8.5754788326424691</v>
      </c>
    </row>
    <row r="874" spans="1:6" x14ac:dyDescent="0.25">
      <c r="A874" s="22">
        <v>43160</v>
      </c>
      <c r="B874" t="s">
        <v>9</v>
      </c>
      <c r="C874" t="s">
        <v>59</v>
      </c>
      <c r="D874">
        <v>8.4694948060604798</v>
      </c>
      <c r="E874">
        <f t="shared" si="2"/>
        <v>8.4694948060604798</v>
      </c>
      <c r="F874">
        <f t="shared" si="2"/>
        <v>8.4694948060604798</v>
      </c>
    </row>
    <row r="875" spans="1:6" x14ac:dyDescent="0.25">
      <c r="A875" s="22">
        <v>43191</v>
      </c>
      <c r="B875" t="s">
        <v>9</v>
      </c>
      <c r="C875" t="s">
        <v>59</v>
      </c>
      <c r="D875">
        <v>8.3195078996824794</v>
      </c>
      <c r="E875">
        <f t="shared" si="2"/>
        <v>8.3195078996824794</v>
      </c>
      <c r="F875">
        <f t="shared" si="2"/>
        <v>8.3195078996824794</v>
      </c>
    </row>
    <row r="876" spans="1:6" x14ac:dyDescent="0.25">
      <c r="A876" s="22">
        <v>43221</v>
      </c>
      <c r="B876" t="s">
        <v>9</v>
      </c>
      <c r="C876" t="s">
        <v>59</v>
      </c>
      <c r="D876">
        <v>8.1928448532863598</v>
      </c>
      <c r="E876">
        <f t="shared" si="2"/>
        <v>8.1928448532863598</v>
      </c>
      <c r="F876">
        <f t="shared" si="2"/>
        <v>8.1928448532863598</v>
      </c>
    </row>
    <row r="877" spans="1:6" x14ac:dyDescent="0.25">
      <c r="A877" s="22">
        <v>43252</v>
      </c>
      <c r="B877" t="s">
        <v>9</v>
      </c>
      <c r="C877" t="s">
        <v>59</v>
      </c>
      <c r="D877">
        <v>7.9704261024786103</v>
      </c>
      <c r="E877">
        <f t="shared" si="2"/>
        <v>7.9704261024786103</v>
      </c>
      <c r="F877">
        <f t="shared" si="2"/>
        <v>7.9704261024786103</v>
      </c>
    </row>
    <row r="878" spans="1:6" x14ac:dyDescent="0.25">
      <c r="A878" s="22">
        <v>43282</v>
      </c>
      <c r="B878" t="s">
        <v>9</v>
      </c>
      <c r="C878" t="s">
        <v>59</v>
      </c>
      <c r="D878">
        <v>7.89794809080911</v>
      </c>
      <c r="E878">
        <f t="shared" si="2"/>
        <v>7.89794809080911</v>
      </c>
      <c r="F878">
        <f t="shared" si="2"/>
        <v>7.89794809080911</v>
      </c>
    </row>
    <row r="879" spans="1:6" x14ac:dyDescent="0.25">
      <c r="A879" s="22">
        <v>43313</v>
      </c>
      <c r="B879" t="s">
        <v>9</v>
      </c>
      <c r="C879" t="s">
        <v>59</v>
      </c>
      <c r="D879">
        <v>7.8087766300575998</v>
      </c>
      <c r="E879">
        <f t="shared" ref="E879:F880" si="3">D879</f>
        <v>7.8087766300575998</v>
      </c>
      <c r="F879">
        <f t="shared" si="3"/>
        <v>7.8087766300575998</v>
      </c>
    </row>
    <row r="880" spans="1:6" x14ac:dyDescent="0.25">
      <c r="A880" s="22">
        <v>43344</v>
      </c>
      <c r="B880" t="s">
        <v>9</v>
      </c>
      <c r="C880" t="s">
        <v>59</v>
      </c>
      <c r="D880">
        <v>7.8518256385687799</v>
      </c>
      <c r="E880">
        <f t="shared" si="3"/>
        <v>7.8518256385687799</v>
      </c>
      <c r="F880">
        <f t="shared" si="3"/>
        <v>7.8518256385687799</v>
      </c>
    </row>
    <row r="881" spans="1:6" x14ac:dyDescent="0.25">
      <c r="A881" s="22">
        <v>43374</v>
      </c>
      <c r="B881" t="s">
        <v>9</v>
      </c>
      <c r="C881" t="s">
        <v>59</v>
      </c>
      <c r="D881">
        <v>7.6954470239189403</v>
      </c>
      <c r="E881">
        <v>7.5028777198823002</v>
      </c>
      <c r="F881">
        <v>7.8929588231209804</v>
      </c>
    </row>
    <row r="882" spans="1:6" x14ac:dyDescent="0.25">
      <c r="A882" s="22">
        <v>43405</v>
      </c>
      <c r="B882" t="s">
        <v>9</v>
      </c>
      <c r="C882" t="s">
        <v>59</v>
      </c>
      <c r="D882">
        <v>7.3544463391368096</v>
      </c>
      <c r="E882">
        <v>7.10363705575858</v>
      </c>
      <c r="F882">
        <v>7.6141109871873898</v>
      </c>
    </row>
    <row r="883" spans="1:6" x14ac:dyDescent="0.25">
      <c r="A883" s="22">
        <v>43435</v>
      </c>
      <c r="B883" t="s">
        <v>9</v>
      </c>
      <c r="C883" t="s">
        <v>59</v>
      </c>
      <c r="D883">
        <v>7.0336927685082102</v>
      </c>
      <c r="E883">
        <v>6.7206946798538096</v>
      </c>
      <c r="F883">
        <v>7.3612678924496002</v>
      </c>
    </row>
    <row r="884" spans="1:6" x14ac:dyDescent="0.25">
      <c r="A884" s="22">
        <v>43466</v>
      </c>
      <c r="B884" t="s">
        <v>9</v>
      </c>
      <c r="C884" t="s">
        <v>59</v>
      </c>
      <c r="D884">
        <v>6.9896041192037597</v>
      </c>
      <c r="E884">
        <v>6.6260467783883303</v>
      </c>
      <c r="F884">
        <v>7.3731090916133297</v>
      </c>
    </row>
    <row r="885" spans="1:6" x14ac:dyDescent="0.25">
      <c r="A885" s="22">
        <v>43497</v>
      </c>
      <c r="B885" t="s">
        <v>9</v>
      </c>
      <c r="C885" t="s">
        <v>59</v>
      </c>
      <c r="D885">
        <v>6.8646391008549097</v>
      </c>
      <c r="E885">
        <v>6.4375163070282202</v>
      </c>
      <c r="F885">
        <v>7.3201010665462496</v>
      </c>
    </row>
    <row r="886" spans="1:6" x14ac:dyDescent="0.25">
      <c r="A886" s="22">
        <v>43525</v>
      </c>
      <c r="B886" t="s">
        <v>9</v>
      </c>
      <c r="C886" t="s">
        <v>59</v>
      </c>
      <c r="D886">
        <v>6.7238078630164004</v>
      </c>
      <c r="E886">
        <v>6.2376524675816301</v>
      </c>
      <c r="F886">
        <v>7.2478536458587204</v>
      </c>
    </row>
    <row r="887" spans="1:6" x14ac:dyDescent="0.25">
      <c r="A887" s="22">
        <v>43556</v>
      </c>
      <c r="B887" t="s">
        <v>9</v>
      </c>
      <c r="C887" t="s">
        <v>59</v>
      </c>
      <c r="D887">
        <v>6.7860448996000402</v>
      </c>
      <c r="E887">
        <v>6.2327956899295502</v>
      </c>
      <c r="F887">
        <v>7.3884028404448197</v>
      </c>
    </row>
    <row r="888" spans="1:6" x14ac:dyDescent="0.25">
      <c r="A888" s="22">
        <v>43586</v>
      </c>
      <c r="B888" t="s">
        <v>9</v>
      </c>
      <c r="C888" t="s">
        <v>59</v>
      </c>
      <c r="D888">
        <v>6.7626751141982098</v>
      </c>
      <c r="E888">
        <v>6.1447798185077298</v>
      </c>
      <c r="F888">
        <v>7.4427035713221503</v>
      </c>
    </row>
    <row r="889" spans="1:6" x14ac:dyDescent="0.25">
      <c r="A889" s="22">
        <v>43617</v>
      </c>
      <c r="B889" t="s">
        <v>9</v>
      </c>
      <c r="C889" t="s">
        <v>59</v>
      </c>
      <c r="D889">
        <v>6.6080181303421899</v>
      </c>
      <c r="E889">
        <v>5.9370463795015498</v>
      </c>
      <c r="F889">
        <v>7.3548193528845403</v>
      </c>
    </row>
    <row r="890" spans="1:6" x14ac:dyDescent="0.25">
      <c r="A890" s="22">
        <v>43647</v>
      </c>
      <c r="B890" t="s">
        <v>9</v>
      </c>
      <c r="C890" t="s">
        <v>59</v>
      </c>
      <c r="D890">
        <v>6.597447060496</v>
      </c>
      <c r="E890">
        <v>5.8622640762686302</v>
      </c>
      <c r="F890">
        <v>7.4248288971233203</v>
      </c>
    </row>
    <row r="891" spans="1:6" x14ac:dyDescent="0.25">
      <c r="A891" s="22">
        <v>43678</v>
      </c>
      <c r="B891" t="s">
        <v>9</v>
      </c>
      <c r="C891" t="s">
        <v>59</v>
      </c>
      <c r="D891">
        <v>6.5494869163943497</v>
      </c>
      <c r="E891">
        <v>5.7528306100754598</v>
      </c>
      <c r="F891">
        <v>7.4564647867249096</v>
      </c>
    </row>
    <row r="892" spans="1:6" x14ac:dyDescent="0.25">
      <c r="A892" s="22">
        <v>43709</v>
      </c>
      <c r="B892" t="s">
        <v>9</v>
      </c>
      <c r="C892" t="s">
        <v>59</v>
      </c>
      <c r="D892">
        <v>6.5620479149888196</v>
      </c>
      <c r="E892">
        <v>5.6987182122685196</v>
      </c>
      <c r="F892">
        <v>7.5561681126654303</v>
      </c>
    </row>
    <row r="893" spans="1:6" x14ac:dyDescent="0.25">
      <c r="A893" s="22">
        <v>43739</v>
      </c>
      <c r="B893" t="s">
        <v>9</v>
      </c>
      <c r="C893" t="s">
        <v>59</v>
      </c>
      <c r="D893">
        <v>6.4400126079801998</v>
      </c>
      <c r="E893">
        <v>5.50576747794958</v>
      </c>
      <c r="F893">
        <v>7.5327849490638599</v>
      </c>
    </row>
    <row r="894" spans="1:6" x14ac:dyDescent="0.25">
      <c r="A894" s="22">
        <v>43770</v>
      </c>
      <c r="B894" t="s">
        <v>9</v>
      </c>
      <c r="C894" t="s">
        <v>59</v>
      </c>
      <c r="D894">
        <v>6.1632398204475596</v>
      </c>
      <c r="E894">
        <v>5.1939892616365304</v>
      </c>
      <c r="F894">
        <v>7.3133622675958296</v>
      </c>
    </row>
    <row r="895" spans="1:6" x14ac:dyDescent="0.25">
      <c r="A895" s="22">
        <v>43800</v>
      </c>
      <c r="B895" t="s">
        <v>9</v>
      </c>
      <c r="C895" t="s">
        <v>59</v>
      </c>
      <c r="D895">
        <v>5.9023722012559299</v>
      </c>
      <c r="E895">
        <v>4.8969804234729004</v>
      </c>
      <c r="F895">
        <v>7.1141794717349303</v>
      </c>
    </row>
    <row r="896" spans="1:6" x14ac:dyDescent="0.25">
      <c r="A896" s="22">
        <v>43831</v>
      </c>
      <c r="B896" t="s">
        <v>9</v>
      </c>
      <c r="C896" t="s">
        <v>59</v>
      </c>
      <c r="D896">
        <v>5.8668816612718198</v>
      </c>
      <c r="E896">
        <v>4.7991413555567997</v>
      </c>
      <c r="F896">
        <v>7.1721789122783699</v>
      </c>
    </row>
    <row r="897" spans="1:6" x14ac:dyDescent="0.25">
      <c r="A897" s="22">
        <v>43862</v>
      </c>
      <c r="B897" t="s">
        <v>9</v>
      </c>
      <c r="C897" t="s">
        <v>59</v>
      </c>
      <c r="D897">
        <v>5.76312014316684</v>
      </c>
      <c r="E897">
        <v>4.6412629439108404</v>
      </c>
      <c r="F897">
        <v>7.1561456840427997</v>
      </c>
    </row>
    <row r="898" spans="1:6" x14ac:dyDescent="0.25">
      <c r="A898" s="22">
        <v>43891</v>
      </c>
      <c r="B898" t="s">
        <v>9</v>
      </c>
      <c r="C898" t="s">
        <v>59</v>
      </c>
      <c r="D898">
        <v>5.6460642959090501</v>
      </c>
      <c r="E898">
        <v>4.4761744737318496</v>
      </c>
      <c r="F898">
        <v>7.1217157017925299</v>
      </c>
    </row>
    <row r="899" spans="1:6" x14ac:dyDescent="0.25">
      <c r="A899" s="22">
        <v>43922</v>
      </c>
      <c r="B899" t="s">
        <v>9</v>
      </c>
      <c r="C899" t="s">
        <v>59</v>
      </c>
      <c r="D899">
        <v>5.6978268676985797</v>
      </c>
      <c r="E899">
        <v>4.4484553723252098</v>
      </c>
      <c r="F899">
        <v>7.2980907521835396</v>
      </c>
    </row>
    <row r="900" spans="1:6" x14ac:dyDescent="0.25">
      <c r="A900" s="22">
        <v>43952</v>
      </c>
      <c r="B900" t="s">
        <v>9</v>
      </c>
      <c r="C900" t="s">
        <v>59</v>
      </c>
      <c r="D900">
        <v>5.6773684232354</v>
      </c>
      <c r="E900">
        <v>4.3631303507384098</v>
      </c>
      <c r="F900">
        <v>7.3874740431936496</v>
      </c>
    </row>
    <row r="901" spans="1:6" x14ac:dyDescent="0.25">
      <c r="A901" s="22">
        <v>43983</v>
      </c>
      <c r="B901" t="s">
        <v>9</v>
      </c>
      <c r="C901" t="s">
        <v>59</v>
      </c>
      <c r="D901">
        <v>5.5470460981656604</v>
      </c>
      <c r="E901">
        <v>4.1951113718273998</v>
      </c>
      <c r="F901">
        <v>7.3346611538876596</v>
      </c>
    </row>
    <row r="902" spans="1:6" x14ac:dyDescent="0.25">
      <c r="A902" s="22">
        <v>44013</v>
      </c>
      <c r="B902" t="s">
        <v>9</v>
      </c>
      <c r="C902" t="s">
        <v>59</v>
      </c>
      <c r="D902">
        <v>5.5306474899667997</v>
      </c>
      <c r="E902">
        <v>4.1166772769557003</v>
      </c>
      <c r="F902">
        <v>7.4302792277407104</v>
      </c>
    </row>
    <row r="903" spans="1:6" x14ac:dyDescent="0.25">
      <c r="A903" s="22">
        <v>44044</v>
      </c>
      <c r="B903" t="s">
        <v>9</v>
      </c>
      <c r="C903" t="s">
        <v>59</v>
      </c>
      <c r="D903">
        <v>5.4830997555065197</v>
      </c>
      <c r="E903">
        <v>4.0156447408504201</v>
      </c>
      <c r="F903">
        <v>7.4868134182778103</v>
      </c>
    </row>
    <row r="904" spans="1:6" x14ac:dyDescent="0.25">
      <c r="A904" s="22">
        <v>44075</v>
      </c>
      <c r="B904" t="s">
        <v>9</v>
      </c>
      <c r="C904" t="s">
        <v>59</v>
      </c>
      <c r="D904">
        <v>5.4859359361999802</v>
      </c>
      <c r="E904">
        <v>3.9539764463828599</v>
      </c>
      <c r="F904">
        <v>7.6114497656206597</v>
      </c>
    </row>
    <row r="905" spans="1:6" x14ac:dyDescent="0.25">
      <c r="A905" s="22">
        <v>44105</v>
      </c>
      <c r="B905" t="s">
        <v>9</v>
      </c>
      <c r="C905" t="s">
        <v>59</v>
      </c>
      <c r="D905">
        <v>5.37796326097261</v>
      </c>
      <c r="E905">
        <v>3.8019393319616999</v>
      </c>
      <c r="F905">
        <v>7.6072988838167301</v>
      </c>
    </row>
    <row r="906" spans="1:6" x14ac:dyDescent="0.25">
      <c r="A906" s="22">
        <v>44136</v>
      </c>
      <c r="B906" t="s">
        <v>9</v>
      </c>
      <c r="C906" t="s">
        <v>59</v>
      </c>
      <c r="D906">
        <v>5.1415803526575496</v>
      </c>
      <c r="E906">
        <v>3.5685692663834598</v>
      </c>
      <c r="F906">
        <v>7.4079684460280397</v>
      </c>
    </row>
    <row r="907" spans="1:6" x14ac:dyDescent="0.25">
      <c r="A907" s="22">
        <v>44166</v>
      </c>
      <c r="B907" t="s">
        <v>9</v>
      </c>
      <c r="C907" t="s">
        <v>59</v>
      </c>
      <c r="D907">
        <v>4.91881251483104</v>
      </c>
      <c r="E907">
        <v>3.3484877953705499</v>
      </c>
      <c r="F907">
        <v>7.2255651012104298</v>
      </c>
    </row>
    <row r="908" spans="1:6" x14ac:dyDescent="0.25">
      <c r="A908" s="22">
        <v>41821</v>
      </c>
      <c r="B908" t="s">
        <v>9</v>
      </c>
      <c r="C908" t="s">
        <v>60</v>
      </c>
      <c r="D908">
        <v>9.6466622268345308</v>
      </c>
      <c r="E908">
        <v>9.4089038642896696</v>
      </c>
      <c r="F908">
        <v>9.8904286259982594</v>
      </c>
    </row>
    <row r="909" spans="1:6" x14ac:dyDescent="0.25">
      <c r="A909" s="22">
        <v>41852</v>
      </c>
      <c r="B909" t="s">
        <v>9</v>
      </c>
      <c r="C909" t="s">
        <v>60</v>
      </c>
      <c r="D909">
        <v>9.6449302321930208</v>
      </c>
      <c r="E909">
        <v>9.4226232151000495</v>
      </c>
      <c r="F909">
        <v>9.8724821167417396</v>
      </c>
    </row>
    <row r="910" spans="1:6" x14ac:dyDescent="0.25">
      <c r="A910" s="22">
        <v>41883</v>
      </c>
      <c r="B910" t="s">
        <v>9</v>
      </c>
      <c r="C910" t="s">
        <v>60</v>
      </c>
      <c r="D910">
        <v>9.1851371069322898</v>
      </c>
      <c r="E910">
        <v>8.9733697394368708</v>
      </c>
      <c r="F910">
        <v>9.4019020861653395</v>
      </c>
    </row>
    <row r="911" spans="1:6" x14ac:dyDescent="0.25">
      <c r="A911" s="22">
        <v>41913</v>
      </c>
      <c r="B911" t="s">
        <v>9</v>
      </c>
      <c r="C911" t="s">
        <v>60</v>
      </c>
      <c r="D911">
        <v>9.2019603228204101</v>
      </c>
      <c r="E911">
        <v>8.9900461685340094</v>
      </c>
      <c r="F911">
        <v>9.4188697360793601</v>
      </c>
    </row>
    <row r="912" spans="1:6" x14ac:dyDescent="0.25">
      <c r="A912" s="22">
        <v>41944</v>
      </c>
      <c r="B912" t="s">
        <v>9</v>
      </c>
      <c r="C912" t="s">
        <v>60</v>
      </c>
      <c r="D912">
        <v>8.8969958323921308</v>
      </c>
      <c r="E912">
        <v>8.69128061133698</v>
      </c>
      <c r="F912">
        <v>9.1075801577906201</v>
      </c>
    </row>
    <row r="913" spans="1:6" x14ac:dyDescent="0.25">
      <c r="A913" s="22">
        <v>41974</v>
      </c>
      <c r="B913" t="s">
        <v>9</v>
      </c>
      <c r="C913" t="s">
        <v>60</v>
      </c>
      <c r="D913">
        <v>8.7503118548719403</v>
      </c>
      <c r="E913">
        <v>8.5489587328575993</v>
      </c>
      <c r="F913">
        <v>8.95640743512147</v>
      </c>
    </row>
    <row r="914" spans="1:6" x14ac:dyDescent="0.25">
      <c r="A914" s="22">
        <v>42005</v>
      </c>
      <c r="B914" t="s">
        <v>9</v>
      </c>
      <c r="C914" t="s">
        <v>60</v>
      </c>
      <c r="D914">
        <v>8.5104894252019108</v>
      </c>
      <c r="E914">
        <v>8.3122187889729897</v>
      </c>
      <c r="F914">
        <v>8.7134893937774205</v>
      </c>
    </row>
    <row r="915" spans="1:6" x14ac:dyDescent="0.25">
      <c r="A915" s="22">
        <v>42036</v>
      </c>
      <c r="B915" t="s">
        <v>9</v>
      </c>
      <c r="C915" t="s">
        <v>60</v>
      </c>
      <c r="D915">
        <v>8.4672283387145306</v>
      </c>
      <c r="E915">
        <v>8.2723733350442696</v>
      </c>
      <c r="F915">
        <v>8.6666731343244905</v>
      </c>
    </row>
    <row r="916" spans="1:6" x14ac:dyDescent="0.25">
      <c r="A916" s="22">
        <v>42064</v>
      </c>
      <c r="B916" t="s">
        <v>9</v>
      </c>
      <c r="C916" t="s">
        <v>60</v>
      </c>
      <c r="D916">
        <v>7.8566452640301101</v>
      </c>
      <c r="E916">
        <v>7.6753606119961999</v>
      </c>
      <c r="F916">
        <v>8.0422116855761505</v>
      </c>
    </row>
    <row r="917" spans="1:6" x14ac:dyDescent="0.25">
      <c r="A917" s="22">
        <v>42095</v>
      </c>
      <c r="B917" t="s">
        <v>9</v>
      </c>
      <c r="C917" t="s">
        <v>60</v>
      </c>
      <c r="D917">
        <v>7.8772370246990304</v>
      </c>
      <c r="E917">
        <v>7.6960052947647997</v>
      </c>
      <c r="F917">
        <v>8.0627365453476596</v>
      </c>
    </row>
    <row r="918" spans="1:6" x14ac:dyDescent="0.25">
      <c r="A918" s="22">
        <v>42125</v>
      </c>
      <c r="B918" t="s">
        <v>9</v>
      </c>
      <c r="C918" t="s">
        <v>60</v>
      </c>
      <c r="D918">
        <v>7.7855361850577802</v>
      </c>
      <c r="E918">
        <v>7.6041447463542404</v>
      </c>
      <c r="F918">
        <v>7.9712545869021296</v>
      </c>
    </row>
    <row r="919" spans="1:6" x14ac:dyDescent="0.25">
      <c r="A919" s="22">
        <v>42156</v>
      </c>
      <c r="B919" t="s">
        <v>9</v>
      </c>
      <c r="C919" t="s">
        <v>60</v>
      </c>
      <c r="D919">
        <v>7.5136976942755496</v>
      </c>
      <c r="E919">
        <v>7.3413276436068697</v>
      </c>
      <c r="F919">
        <v>7.6901148922464504</v>
      </c>
    </row>
    <row r="920" spans="1:6" x14ac:dyDescent="0.25">
      <c r="A920" s="22">
        <v>42186</v>
      </c>
      <c r="B920" t="s">
        <v>9</v>
      </c>
      <c r="C920" t="s">
        <v>60</v>
      </c>
      <c r="D920">
        <v>7.3454746971575098</v>
      </c>
      <c r="E920">
        <v>7.1766404737877902</v>
      </c>
      <c r="F920">
        <v>7.5182808339991301</v>
      </c>
    </row>
    <row r="921" spans="1:6" x14ac:dyDescent="0.25">
      <c r="A921" s="22">
        <v>42217</v>
      </c>
      <c r="B921" t="s">
        <v>9</v>
      </c>
      <c r="C921" t="s">
        <v>60</v>
      </c>
      <c r="D921">
        <v>7.3359026470205002</v>
      </c>
      <c r="E921">
        <v>7.1706711346554499</v>
      </c>
      <c r="F921">
        <v>7.5049415369887997</v>
      </c>
    </row>
    <row r="922" spans="1:6" x14ac:dyDescent="0.25">
      <c r="A922" s="22">
        <v>42248</v>
      </c>
      <c r="B922" t="s">
        <v>9</v>
      </c>
      <c r="C922" t="s">
        <v>60</v>
      </c>
      <c r="D922">
        <v>7.4068143931673696</v>
      </c>
      <c r="E922">
        <v>7.2363102168200601</v>
      </c>
      <c r="F922">
        <v>7.58133604157997</v>
      </c>
    </row>
    <row r="923" spans="1:6" x14ac:dyDescent="0.25">
      <c r="A923" s="22">
        <v>42278</v>
      </c>
      <c r="B923" t="s">
        <v>9</v>
      </c>
      <c r="C923" t="s">
        <v>60</v>
      </c>
      <c r="D923">
        <v>7.4170734440895103</v>
      </c>
      <c r="E923">
        <v>7.2456093666144099</v>
      </c>
      <c r="F923">
        <v>7.5925951416179096</v>
      </c>
    </row>
    <row r="924" spans="1:6" x14ac:dyDescent="0.25">
      <c r="A924" s="22">
        <v>42309</v>
      </c>
      <c r="B924" t="s">
        <v>9</v>
      </c>
      <c r="C924" t="s">
        <v>60</v>
      </c>
      <c r="D924">
        <v>7.3410568415817403</v>
      </c>
      <c r="E924">
        <v>7.1694493851455796</v>
      </c>
      <c r="F924">
        <v>7.5167718825090599</v>
      </c>
    </row>
    <row r="925" spans="1:6" x14ac:dyDescent="0.25">
      <c r="A925" s="22">
        <v>42339</v>
      </c>
      <c r="B925" t="s">
        <v>9</v>
      </c>
      <c r="C925" t="s">
        <v>60</v>
      </c>
      <c r="D925">
        <v>6.9740555459598097</v>
      </c>
      <c r="E925">
        <v>6.8169104686363804</v>
      </c>
      <c r="F925">
        <v>7.1348231698078797</v>
      </c>
    </row>
    <row r="926" spans="1:6" x14ac:dyDescent="0.25">
      <c r="A926" s="22">
        <v>42370</v>
      </c>
      <c r="B926" t="s">
        <v>9</v>
      </c>
      <c r="C926" t="s">
        <v>60</v>
      </c>
      <c r="D926">
        <v>6.9505884237225501</v>
      </c>
      <c r="E926">
        <v>6.7929079598435704</v>
      </c>
      <c r="F926">
        <v>7.1119290474088004</v>
      </c>
    </row>
    <row r="927" spans="1:6" x14ac:dyDescent="0.25">
      <c r="A927" s="22">
        <v>42401</v>
      </c>
      <c r="B927" t="s">
        <v>9</v>
      </c>
      <c r="C927" t="s">
        <v>60</v>
      </c>
      <c r="D927">
        <v>7.0316936198236597</v>
      </c>
      <c r="E927">
        <v>6.8684929279071403</v>
      </c>
      <c r="F927">
        <v>7.1987720861110001</v>
      </c>
    </row>
    <row r="928" spans="1:6" x14ac:dyDescent="0.25">
      <c r="A928" s="22">
        <v>42430</v>
      </c>
      <c r="B928" t="s">
        <v>9</v>
      </c>
      <c r="C928" t="s">
        <v>60</v>
      </c>
      <c r="D928">
        <v>7.1882209267736101</v>
      </c>
      <c r="E928">
        <v>7.0236391715206601</v>
      </c>
      <c r="F928">
        <v>7.3566592517478604</v>
      </c>
    </row>
    <row r="929" spans="1:6" x14ac:dyDescent="0.25">
      <c r="A929" s="22">
        <v>42461</v>
      </c>
      <c r="B929" t="s">
        <v>9</v>
      </c>
      <c r="C929" t="s">
        <v>60</v>
      </c>
      <c r="D929">
        <v>7.9291433250201804</v>
      </c>
      <c r="E929">
        <v>7.7484512412936999</v>
      </c>
      <c r="F929">
        <v>8.1140491061817492</v>
      </c>
    </row>
    <row r="930" spans="1:6" x14ac:dyDescent="0.25">
      <c r="A930" s="22">
        <v>42491</v>
      </c>
      <c r="B930" t="s">
        <v>9</v>
      </c>
      <c r="C930" t="s">
        <v>60</v>
      </c>
      <c r="D930">
        <v>7.8895362252284302</v>
      </c>
      <c r="E930">
        <v>7.7103708449177297</v>
      </c>
      <c r="F930">
        <v>8.0728648596999797</v>
      </c>
    </row>
    <row r="931" spans="1:6" x14ac:dyDescent="0.25">
      <c r="A931" s="22">
        <v>42522</v>
      </c>
      <c r="B931" t="s">
        <v>9</v>
      </c>
      <c r="C931" t="s">
        <v>60</v>
      </c>
      <c r="D931">
        <v>7.8240840835208996</v>
      </c>
      <c r="E931">
        <v>7.6475720650981804</v>
      </c>
      <c r="F931">
        <v>8.0046701390867092</v>
      </c>
    </row>
    <row r="932" spans="1:6" x14ac:dyDescent="0.25">
      <c r="A932" s="22">
        <v>42552</v>
      </c>
      <c r="B932" t="s">
        <v>9</v>
      </c>
      <c r="C932" t="s">
        <v>60</v>
      </c>
      <c r="D932">
        <v>8.0105609514893192</v>
      </c>
      <c r="E932">
        <v>7.8305387113749898</v>
      </c>
      <c r="F932">
        <v>8.1947218604909704</v>
      </c>
    </row>
    <row r="933" spans="1:6" x14ac:dyDescent="0.25">
      <c r="A933" s="22">
        <v>42583</v>
      </c>
      <c r="B933" t="s">
        <v>9</v>
      </c>
      <c r="C933" t="s">
        <v>60</v>
      </c>
      <c r="D933">
        <v>8.12881019921217</v>
      </c>
      <c r="E933">
        <v>7.9474803945548196</v>
      </c>
      <c r="F933">
        <v>8.3142772267910807</v>
      </c>
    </row>
    <row r="934" spans="1:6" x14ac:dyDescent="0.25">
      <c r="A934" s="22">
        <v>42614</v>
      </c>
      <c r="B934" t="s">
        <v>9</v>
      </c>
      <c r="C934" t="s">
        <v>60</v>
      </c>
      <c r="D934">
        <v>8.2634557547153396</v>
      </c>
      <c r="E934">
        <v>8.0756512018065099</v>
      </c>
      <c r="F934">
        <v>8.4556278253898594</v>
      </c>
    </row>
    <row r="935" spans="1:6" x14ac:dyDescent="0.25">
      <c r="A935" s="22">
        <v>42644</v>
      </c>
      <c r="B935" t="s">
        <v>9</v>
      </c>
      <c r="C935" t="s">
        <v>60</v>
      </c>
      <c r="D935">
        <v>8.5109717635810807</v>
      </c>
      <c r="E935">
        <v>8.3157590942906694</v>
      </c>
      <c r="F935">
        <v>8.7107670555544505</v>
      </c>
    </row>
    <row r="936" spans="1:6" x14ac:dyDescent="0.25">
      <c r="A936" s="22">
        <v>42675</v>
      </c>
      <c r="B936" t="s">
        <v>9</v>
      </c>
      <c r="C936" t="s">
        <v>60</v>
      </c>
      <c r="D936">
        <v>8.3562862591463993</v>
      </c>
      <c r="E936">
        <v>8.1627191821122302</v>
      </c>
      <c r="F936">
        <v>8.5544434993940399</v>
      </c>
    </row>
    <row r="937" spans="1:6" x14ac:dyDescent="0.25">
      <c r="A937" s="22">
        <v>42705</v>
      </c>
      <c r="B937" t="s">
        <v>9</v>
      </c>
      <c r="C937" t="s">
        <v>60</v>
      </c>
      <c r="D937">
        <v>8.2539040388072795</v>
      </c>
      <c r="E937">
        <v>8.0678297316693506</v>
      </c>
      <c r="F937">
        <v>8.4442699149208096</v>
      </c>
    </row>
    <row r="938" spans="1:6" x14ac:dyDescent="0.25">
      <c r="A938" s="22">
        <v>42736</v>
      </c>
      <c r="B938" t="s">
        <v>9</v>
      </c>
      <c r="C938" t="s">
        <v>60</v>
      </c>
      <c r="D938">
        <v>8.2345542666259899</v>
      </c>
      <c r="E938">
        <v>8.0451992567664004</v>
      </c>
      <c r="F938">
        <v>8.4283660113176904</v>
      </c>
    </row>
    <row r="939" spans="1:6" x14ac:dyDescent="0.25">
      <c r="A939" s="22">
        <v>42767</v>
      </c>
      <c r="B939" t="s">
        <v>9</v>
      </c>
      <c r="C939" t="s">
        <v>60</v>
      </c>
      <c r="D939">
        <v>8.3813057034484402</v>
      </c>
      <c r="E939">
        <v>8.1892179101142499</v>
      </c>
      <c r="F939">
        <v>8.5778991432012397</v>
      </c>
    </row>
    <row r="940" spans="1:6" x14ac:dyDescent="0.25">
      <c r="A940" s="22">
        <v>42795</v>
      </c>
      <c r="B940" t="s">
        <v>9</v>
      </c>
      <c r="C940" t="s">
        <v>60</v>
      </c>
      <c r="D940">
        <v>8.3354572066193207</v>
      </c>
      <c r="E940">
        <v>8.1449044808073996</v>
      </c>
      <c r="F940">
        <v>8.5304679762793807</v>
      </c>
    </row>
    <row r="941" spans="1:6" x14ac:dyDescent="0.25">
      <c r="A941" s="22">
        <v>42826</v>
      </c>
      <c r="B941" t="s">
        <v>9</v>
      </c>
      <c r="C941" t="s">
        <v>60</v>
      </c>
      <c r="D941">
        <v>8.5118480431071593</v>
      </c>
      <c r="E941">
        <v>8.3189800175555195</v>
      </c>
      <c r="F941">
        <v>8.7091875393441107</v>
      </c>
    </row>
    <row r="942" spans="1:6" x14ac:dyDescent="0.25">
      <c r="A942" s="22">
        <v>42856</v>
      </c>
      <c r="B942" t="s">
        <v>9</v>
      </c>
      <c r="C942" t="s">
        <v>60</v>
      </c>
      <c r="D942">
        <v>8.6161158233767008</v>
      </c>
      <c r="E942">
        <v>8.4199518366322508</v>
      </c>
      <c r="F942">
        <v>8.8168499443026906</v>
      </c>
    </row>
    <row r="943" spans="1:6" x14ac:dyDescent="0.25">
      <c r="A943" s="22">
        <v>42887</v>
      </c>
      <c r="B943" t="s">
        <v>9</v>
      </c>
      <c r="C943" t="s">
        <v>60</v>
      </c>
      <c r="D943">
        <v>8.8379238967645097</v>
      </c>
      <c r="E943">
        <v>8.6375366273626106</v>
      </c>
      <c r="F943">
        <v>9.04296006775383</v>
      </c>
    </row>
    <row r="944" spans="1:6" x14ac:dyDescent="0.25">
      <c r="A944" s="22">
        <v>42917</v>
      </c>
      <c r="B944" t="s">
        <v>9</v>
      </c>
      <c r="C944" t="s">
        <v>60</v>
      </c>
      <c r="D944">
        <v>8.9139136704378306</v>
      </c>
      <c r="E944">
        <v>8.7134714023426607</v>
      </c>
      <c r="F944">
        <v>9.1189668566142092</v>
      </c>
    </row>
    <row r="945" spans="1:6" x14ac:dyDescent="0.25">
      <c r="A945" s="22">
        <v>42948</v>
      </c>
      <c r="B945" t="s">
        <v>9</v>
      </c>
      <c r="C945" t="s">
        <v>60</v>
      </c>
      <c r="D945">
        <v>8.9212113437405094</v>
      </c>
      <c r="E945">
        <v>8.7215644683178901</v>
      </c>
      <c r="F945">
        <v>9.1254283711135908</v>
      </c>
    </row>
    <row r="946" spans="1:6" x14ac:dyDescent="0.25">
      <c r="A946" s="22">
        <v>42979</v>
      </c>
      <c r="B946" t="s">
        <v>9</v>
      </c>
      <c r="C946" t="s">
        <v>60</v>
      </c>
      <c r="D946">
        <v>8.9842638118496296</v>
      </c>
      <c r="E946">
        <v>8.7806395369771408</v>
      </c>
      <c r="F946">
        <v>9.1926101625051899</v>
      </c>
    </row>
    <row r="947" spans="1:6" x14ac:dyDescent="0.25">
      <c r="A947" s="22">
        <v>43009</v>
      </c>
      <c r="B947" t="s">
        <v>9</v>
      </c>
      <c r="C947" t="s">
        <v>60</v>
      </c>
      <c r="D947">
        <v>8.9938234159457302</v>
      </c>
      <c r="E947">
        <v>8.7874432088098295</v>
      </c>
      <c r="F947">
        <v>9.2050506290747691</v>
      </c>
    </row>
    <row r="948" spans="1:6" x14ac:dyDescent="0.25">
      <c r="A948" s="22">
        <v>43040</v>
      </c>
      <c r="B948" t="s">
        <v>9</v>
      </c>
      <c r="C948" t="s">
        <v>60</v>
      </c>
      <c r="D948">
        <v>8.7898395689625595</v>
      </c>
      <c r="E948">
        <v>8.5861986332226508</v>
      </c>
      <c r="F948">
        <v>8.9983103056982898</v>
      </c>
    </row>
    <row r="949" spans="1:6" x14ac:dyDescent="0.25">
      <c r="A949" s="22">
        <v>43070</v>
      </c>
      <c r="B949" t="s">
        <v>9</v>
      </c>
      <c r="C949" t="s">
        <v>60</v>
      </c>
      <c r="D949">
        <v>8.6554776561914402</v>
      </c>
      <c r="E949">
        <v>8.4561528296693496</v>
      </c>
      <c r="F949">
        <v>8.8595008824785708</v>
      </c>
    </row>
    <row r="950" spans="1:6" x14ac:dyDescent="0.25">
      <c r="A950" s="22">
        <v>43101</v>
      </c>
      <c r="B950" t="s">
        <v>9</v>
      </c>
      <c r="C950" t="s">
        <v>60</v>
      </c>
      <c r="D950">
        <v>8.5647639120112107</v>
      </c>
      <c r="E950">
        <v>8.3680672344893701</v>
      </c>
      <c r="F950">
        <v>8.7660840685114199</v>
      </c>
    </row>
    <row r="951" spans="1:6" x14ac:dyDescent="0.25">
      <c r="A951" s="23">
        <v>43132</v>
      </c>
      <c r="B951" t="s">
        <v>9</v>
      </c>
      <c r="C951" t="s">
        <v>60</v>
      </c>
      <c r="D951">
        <v>8.5754788326424691</v>
      </c>
      <c r="E951">
        <v>8.37738370838413</v>
      </c>
      <c r="F951">
        <v>8.77825819718643</v>
      </c>
    </row>
    <row r="952" spans="1:6" x14ac:dyDescent="0.25">
      <c r="A952" s="22">
        <v>43160</v>
      </c>
      <c r="B952" t="s">
        <v>9</v>
      </c>
      <c r="C952" t="s">
        <v>60</v>
      </c>
      <c r="D952">
        <v>8.4694948060604798</v>
      </c>
      <c r="E952">
        <v>8.2723084254187906</v>
      </c>
      <c r="F952">
        <v>8.6713815033140396</v>
      </c>
    </row>
    <row r="953" spans="1:6" x14ac:dyDescent="0.25">
      <c r="A953" s="22">
        <v>43191</v>
      </c>
      <c r="B953" t="s">
        <v>9</v>
      </c>
      <c r="C953" t="s">
        <v>60</v>
      </c>
      <c r="D953">
        <v>8.3195078996824794</v>
      </c>
      <c r="E953">
        <v>8.1285059299998501</v>
      </c>
      <c r="F953">
        <v>8.5149979945798595</v>
      </c>
    </row>
    <row r="954" spans="1:6" x14ac:dyDescent="0.25">
      <c r="A954" s="22">
        <v>43221</v>
      </c>
      <c r="B954" t="s">
        <v>9</v>
      </c>
      <c r="C954" t="s">
        <v>60</v>
      </c>
      <c r="D954">
        <v>8.1928448532863598</v>
      </c>
      <c r="E954">
        <v>8.0039591095453808</v>
      </c>
      <c r="F954">
        <v>8.3861881190736494</v>
      </c>
    </row>
    <row r="955" spans="1:6" x14ac:dyDescent="0.25">
      <c r="A955" s="22">
        <v>43252</v>
      </c>
      <c r="B955" t="s">
        <v>9</v>
      </c>
      <c r="C955" t="s">
        <v>60</v>
      </c>
      <c r="D955">
        <v>7.9704261024786103</v>
      </c>
      <c r="E955">
        <v>7.78629120511384</v>
      </c>
      <c r="F955">
        <v>8.1589155326413998</v>
      </c>
    </row>
    <row r="956" spans="1:6" x14ac:dyDescent="0.25">
      <c r="A956" s="22">
        <v>43282</v>
      </c>
      <c r="B956" t="s">
        <v>9</v>
      </c>
      <c r="C956" t="s">
        <v>60</v>
      </c>
      <c r="D956">
        <v>7.89794809080911</v>
      </c>
      <c r="E956">
        <v>7.7169670304176998</v>
      </c>
      <c r="F956">
        <v>8.0831735835132807</v>
      </c>
    </row>
    <row r="957" spans="1:6" x14ac:dyDescent="0.25">
      <c r="A957" s="22">
        <v>43313</v>
      </c>
      <c r="B957" t="s">
        <v>9</v>
      </c>
      <c r="C957" t="s">
        <v>60</v>
      </c>
      <c r="D957">
        <v>7.8087766300575998</v>
      </c>
      <c r="E957">
        <v>7.6288055217017199</v>
      </c>
      <c r="F957">
        <v>7.9929934358232</v>
      </c>
    </row>
    <row r="958" spans="1:6" x14ac:dyDescent="0.25">
      <c r="A958" s="22">
        <v>43344</v>
      </c>
      <c r="B958" t="s">
        <v>9</v>
      </c>
      <c r="C958" t="s">
        <v>60</v>
      </c>
      <c r="D958">
        <v>7.8518256385687799</v>
      </c>
      <c r="E958">
        <v>7.6588068996480896</v>
      </c>
      <c r="F958">
        <v>8.0497088732343904</v>
      </c>
    </row>
    <row r="959" spans="1:6" x14ac:dyDescent="0.25">
      <c r="A959" s="22">
        <v>43374</v>
      </c>
      <c r="B959" t="s">
        <v>9</v>
      </c>
      <c r="C959" t="s">
        <v>60</v>
      </c>
      <c r="D959">
        <v>7.6236633486943299</v>
      </c>
      <c r="E959">
        <v>7.42355845432082</v>
      </c>
      <c r="F959">
        <v>7.8291621480257696</v>
      </c>
    </row>
    <row r="960" spans="1:6" x14ac:dyDescent="0.25">
      <c r="A960" s="22">
        <v>43405</v>
      </c>
      <c r="B960" t="s">
        <v>9</v>
      </c>
      <c r="C960" t="s">
        <v>60</v>
      </c>
      <c r="D960">
        <v>7.2196388919676799</v>
      </c>
      <c r="E960">
        <v>6.9440193390484204</v>
      </c>
      <c r="F960">
        <v>7.5061982384333303</v>
      </c>
    </row>
    <row r="961" spans="1:6" x14ac:dyDescent="0.25">
      <c r="A961" s="22">
        <v>43435</v>
      </c>
      <c r="B961" t="s">
        <v>9</v>
      </c>
      <c r="C961" t="s">
        <v>60</v>
      </c>
      <c r="D961">
        <v>6.8447419261012996</v>
      </c>
      <c r="E961">
        <v>6.5087371157862997</v>
      </c>
      <c r="F961">
        <v>7.1980925333883299</v>
      </c>
    </row>
    <row r="962" spans="1:6" x14ac:dyDescent="0.25">
      <c r="A962" s="22">
        <v>43466</v>
      </c>
      <c r="B962" t="s">
        <v>9</v>
      </c>
      <c r="C962" t="s">
        <v>60</v>
      </c>
      <c r="D962">
        <v>6.7312152332181396</v>
      </c>
      <c r="E962">
        <v>6.3448018720028703</v>
      </c>
      <c r="F962">
        <v>7.1411620772336599</v>
      </c>
    </row>
    <row r="963" spans="1:6" x14ac:dyDescent="0.25">
      <c r="A963" s="22">
        <v>43497</v>
      </c>
      <c r="B963" t="s">
        <v>9</v>
      </c>
      <c r="C963" t="s">
        <v>60</v>
      </c>
      <c r="D963">
        <v>6.5410597003386597</v>
      </c>
      <c r="E963">
        <v>6.0881134845366702</v>
      </c>
      <c r="F963">
        <v>7.02770441320882</v>
      </c>
    </row>
    <row r="964" spans="1:6" x14ac:dyDescent="0.25">
      <c r="A964" s="22">
        <v>43525</v>
      </c>
      <c r="B964" t="s">
        <v>9</v>
      </c>
      <c r="C964" t="s">
        <v>60</v>
      </c>
      <c r="D964">
        <v>6.3484778129868698</v>
      </c>
      <c r="E964">
        <v>5.8398840417751003</v>
      </c>
      <c r="F964">
        <v>6.9013648650694703</v>
      </c>
    </row>
    <row r="965" spans="1:6" x14ac:dyDescent="0.25">
      <c r="A965" s="22">
        <v>43556</v>
      </c>
      <c r="B965" t="s">
        <v>9</v>
      </c>
      <c r="C965" t="s">
        <v>60</v>
      </c>
      <c r="D965">
        <v>6.3531980614484898</v>
      </c>
      <c r="E965">
        <v>5.78760501023873</v>
      </c>
      <c r="F965">
        <v>6.9740636302213703</v>
      </c>
    </row>
    <row r="966" spans="1:6" x14ac:dyDescent="0.25">
      <c r="A966" s="22">
        <v>43586</v>
      </c>
      <c r="B966" t="s">
        <v>9</v>
      </c>
      <c r="C966" t="s">
        <v>60</v>
      </c>
      <c r="D966">
        <v>6.2811222515307303</v>
      </c>
      <c r="E966">
        <v>5.6669903208890604</v>
      </c>
      <c r="F966">
        <v>6.9618076800394002</v>
      </c>
    </row>
    <row r="967" spans="1:6" x14ac:dyDescent="0.25">
      <c r="A967" s="22">
        <v>43617</v>
      </c>
      <c r="B967" t="s">
        <v>9</v>
      </c>
      <c r="C967" t="s">
        <v>60</v>
      </c>
      <c r="D967">
        <v>6.0853479447271503</v>
      </c>
      <c r="E967">
        <v>5.42528543600665</v>
      </c>
      <c r="F967">
        <v>6.8257163692482896</v>
      </c>
    </row>
    <row r="968" spans="1:6" x14ac:dyDescent="0.25">
      <c r="A968" s="22">
        <v>43647</v>
      </c>
      <c r="B968" t="s">
        <v>9</v>
      </c>
      <c r="C968" t="s">
        <v>60</v>
      </c>
      <c r="D968">
        <v>6.0326230772590304</v>
      </c>
      <c r="E968">
        <v>5.3237086060927998</v>
      </c>
      <c r="F968">
        <v>6.8359378555445698</v>
      </c>
    </row>
    <row r="969" spans="1:6" x14ac:dyDescent="0.25">
      <c r="A969" s="22">
        <v>43678</v>
      </c>
      <c r="B969" t="s">
        <v>9</v>
      </c>
      <c r="C969" t="s">
        <v>60</v>
      </c>
      <c r="D969">
        <v>5.9430282859863297</v>
      </c>
      <c r="E969">
        <v>5.18488707849765</v>
      </c>
      <c r="F969">
        <v>6.8120259271427797</v>
      </c>
    </row>
    <row r="970" spans="1:6" x14ac:dyDescent="0.25">
      <c r="A970" s="22">
        <v>43709</v>
      </c>
      <c r="B970" t="s">
        <v>9</v>
      </c>
      <c r="C970" t="s">
        <v>60</v>
      </c>
      <c r="D970">
        <v>5.9098573046923697</v>
      </c>
      <c r="E970">
        <v>5.0983171799495199</v>
      </c>
      <c r="F970">
        <v>6.85057679408082</v>
      </c>
    </row>
    <row r="971" spans="1:6" x14ac:dyDescent="0.25">
      <c r="A971" s="22">
        <v>43739</v>
      </c>
      <c r="B971" t="s">
        <v>9</v>
      </c>
      <c r="C971" t="s">
        <v>60</v>
      </c>
      <c r="D971">
        <v>5.74951774717593</v>
      </c>
      <c r="E971">
        <v>4.8784106150835003</v>
      </c>
      <c r="F971">
        <v>6.7761730066105201</v>
      </c>
    </row>
    <row r="972" spans="1:6" x14ac:dyDescent="0.25">
      <c r="A972" s="22">
        <v>43770</v>
      </c>
      <c r="B972" t="s">
        <v>9</v>
      </c>
      <c r="C972" t="s">
        <v>60</v>
      </c>
      <c r="D972">
        <v>5.4548948498527503</v>
      </c>
      <c r="E972">
        <v>4.5558440982943802</v>
      </c>
      <c r="F972">
        <v>6.5313643708945301</v>
      </c>
    </row>
    <row r="973" spans="1:6" x14ac:dyDescent="0.25">
      <c r="A973" s="22">
        <v>43800</v>
      </c>
      <c r="B973" t="s">
        <v>9</v>
      </c>
      <c r="C973" t="s">
        <v>60</v>
      </c>
      <c r="D973">
        <v>5.1809017650486702</v>
      </c>
      <c r="E973">
        <v>4.2598752537855802</v>
      </c>
      <c r="F973">
        <v>6.3010631767282996</v>
      </c>
    </row>
    <row r="974" spans="1:6" x14ac:dyDescent="0.25">
      <c r="A974" s="22">
        <v>43831</v>
      </c>
      <c r="B974" t="s">
        <v>9</v>
      </c>
      <c r="C974" t="s">
        <v>60</v>
      </c>
      <c r="D974">
        <v>5.1270383656103897</v>
      </c>
      <c r="E974">
        <v>4.1622992794072298</v>
      </c>
      <c r="F974">
        <v>6.3153849922546703</v>
      </c>
    </row>
    <row r="975" spans="1:6" x14ac:dyDescent="0.25">
      <c r="A975" s="22">
        <v>43862</v>
      </c>
      <c r="B975" t="s">
        <v>9</v>
      </c>
      <c r="C975" t="s">
        <v>60</v>
      </c>
      <c r="D975">
        <v>5.0135576467087297</v>
      </c>
      <c r="E975">
        <v>4.0059067909562502</v>
      </c>
      <c r="F975">
        <v>6.2746742719072204</v>
      </c>
    </row>
    <row r="976" spans="1:6" x14ac:dyDescent="0.25">
      <c r="A976" s="22">
        <v>43891</v>
      </c>
      <c r="B976" t="s">
        <v>9</v>
      </c>
      <c r="C976" t="s">
        <v>60</v>
      </c>
      <c r="D976">
        <v>4.8936017742167497</v>
      </c>
      <c r="E976">
        <v>3.8499201555193601</v>
      </c>
      <c r="F976">
        <v>6.2202168765203201</v>
      </c>
    </row>
    <row r="977" spans="1:6" x14ac:dyDescent="0.25">
      <c r="A977" s="22">
        <v>43922</v>
      </c>
      <c r="B977" t="s">
        <v>9</v>
      </c>
      <c r="C977" t="s">
        <v>60</v>
      </c>
      <c r="D977">
        <v>4.9630669992753802</v>
      </c>
      <c r="E977">
        <v>3.8518614959808302</v>
      </c>
      <c r="F977">
        <v>6.3948389798019099</v>
      </c>
    </row>
    <row r="978" spans="1:6" x14ac:dyDescent="0.25">
      <c r="A978" s="22">
        <v>43952</v>
      </c>
      <c r="B978" t="s">
        <v>9</v>
      </c>
      <c r="C978" t="s">
        <v>60</v>
      </c>
      <c r="D978">
        <v>4.9705753132314001</v>
      </c>
      <c r="E978">
        <v>3.80412327638708</v>
      </c>
      <c r="F978">
        <v>6.4946946114665103</v>
      </c>
    </row>
    <row r="979" spans="1:6" x14ac:dyDescent="0.25">
      <c r="A979" s="22">
        <v>43983</v>
      </c>
      <c r="B979" t="s">
        <v>9</v>
      </c>
      <c r="C979" t="s">
        <v>60</v>
      </c>
      <c r="D979">
        <v>4.8803790241645499</v>
      </c>
      <c r="E979">
        <v>3.6785462360009502</v>
      </c>
      <c r="F979">
        <v>6.4748674860747801</v>
      </c>
    </row>
    <row r="980" spans="1:6" x14ac:dyDescent="0.25">
      <c r="A980" s="22">
        <v>44013</v>
      </c>
      <c r="B980" t="s">
        <v>9</v>
      </c>
      <c r="C980" t="s">
        <v>60</v>
      </c>
      <c r="D980">
        <v>4.9241587456776896</v>
      </c>
      <c r="E980">
        <v>3.65984158208822</v>
      </c>
      <c r="F980">
        <v>6.6252428715231799</v>
      </c>
    </row>
    <row r="981" spans="1:6" x14ac:dyDescent="0.25">
      <c r="A981" s="22">
        <v>44044</v>
      </c>
      <c r="B981" t="s">
        <v>9</v>
      </c>
      <c r="C981" t="s">
        <v>60</v>
      </c>
      <c r="D981">
        <v>4.9402238296455296</v>
      </c>
      <c r="E981">
        <v>3.6176568599500598</v>
      </c>
      <c r="F981">
        <v>6.7463035970013099</v>
      </c>
    </row>
    <row r="982" spans="1:6" x14ac:dyDescent="0.25">
      <c r="A982" s="22">
        <v>44075</v>
      </c>
      <c r="B982" t="s">
        <v>9</v>
      </c>
      <c r="C982" t="s">
        <v>60</v>
      </c>
      <c r="D982">
        <v>5.0029803655501999</v>
      </c>
      <c r="E982">
        <v>3.6097737227271498</v>
      </c>
      <c r="F982">
        <v>6.9339006986762302</v>
      </c>
    </row>
    <row r="983" spans="1:6" x14ac:dyDescent="0.25">
      <c r="A983" s="22">
        <v>44105</v>
      </c>
      <c r="B983" t="s">
        <v>9</v>
      </c>
      <c r="C983" t="s">
        <v>60</v>
      </c>
      <c r="D983">
        <v>4.9666530794623904</v>
      </c>
      <c r="E983">
        <v>3.5174248646364799</v>
      </c>
      <c r="F983">
        <v>7.0129835777693597</v>
      </c>
    </row>
    <row r="984" spans="1:6" x14ac:dyDescent="0.25">
      <c r="A984" s="22">
        <v>44136</v>
      </c>
      <c r="B984" t="s">
        <v>9</v>
      </c>
      <c r="C984" t="s">
        <v>60</v>
      </c>
      <c r="D984">
        <v>4.8116284052275402</v>
      </c>
      <c r="E984">
        <v>3.3477558700444998</v>
      </c>
      <c r="F984">
        <v>6.9156081891015502</v>
      </c>
    </row>
    <row r="985" spans="1:6" x14ac:dyDescent="0.25">
      <c r="A985" s="22">
        <v>44166</v>
      </c>
      <c r="B985" t="s">
        <v>9</v>
      </c>
      <c r="C985" t="s">
        <v>60</v>
      </c>
      <c r="D985">
        <v>4.6632817677447704</v>
      </c>
      <c r="E985">
        <v>3.18575700941703</v>
      </c>
      <c r="F985">
        <v>6.8260689001387904</v>
      </c>
    </row>
    <row r="986" spans="1:6" x14ac:dyDescent="0.25">
      <c r="A986" s="22">
        <v>41640</v>
      </c>
      <c r="B986" t="s">
        <v>3</v>
      </c>
      <c r="C986" t="s">
        <v>59</v>
      </c>
      <c r="D986">
        <v>1.9594747349999999</v>
      </c>
      <c r="E986">
        <v>1.9594747349999999</v>
      </c>
      <c r="F986">
        <v>1.9594747349999999</v>
      </c>
    </row>
    <row r="987" spans="1:6" x14ac:dyDescent="0.25">
      <c r="A987" s="22">
        <v>41671</v>
      </c>
      <c r="B987" t="s">
        <v>3</v>
      </c>
      <c r="C987" t="s">
        <v>59</v>
      </c>
      <c r="D987">
        <v>1.94170307933562</v>
      </c>
      <c r="E987">
        <v>1.9411446410429301</v>
      </c>
      <c r="F987">
        <v>1.9422616782826601</v>
      </c>
    </row>
    <row r="988" spans="1:6" x14ac:dyDescent="0.25">
      <c r="A988" s="22">
        <v>41699</v>
      </c>
      <c r="B988" t="s">
        <v>3</v>
      </c>
      <c r="C988" t="s">
        <v>59</v>
      </c>
      <c r="D988">
        <v>2.0251044969425598</v>
      </c>
      <c r="E988">
        <v>2.0245220740310299</v>
      </c>
      <c r="F988">
        <v>2.0256870874079298</v>
      </c>
    </row>
    <row r="989" spans="1:6" x14ac:dyDescent="0.25">
      <c r="A989" s="22">
        <v>41730</v>
      </c>
      <c r="B989" t="s">
        <v>3</v>
      </c>
      <c r="C989" t="s">
        <v>59</v>
      </c>
      <c r="D989">
        <v>2.05972213769715</v>
      </c>
      <c r="E989">
        <v>2.05912975697338</v>
      </c>
      <c r="F989">
        <v>2.0603146888399602</v>
      </c>
    </row>
    <row r="990" spans="1:6" x14ac:dyDescent="0.25">
      <c r="A990" s="22">
        <v>41760</v>
      </c>
      <c r="B990" t="s">
        <v>3</v>
      </c>
      <c r="C990" t="s">
        <v>59</v>
      </c>
      <c r="D990">
        <v>2.0573758829344402</v>
      </c>
      <c r="E990">
        <v>2.0567841768916799</v>
      </c>
      <c r="F990">
        <v>2.0579677592021901</v>
      </c>
    </row>
    <row r="991" spans="1:6" x14ac:dyDescent="0.25">
      <c r="A991" s="22">
        <v>41791</v>
      </c>
      <c r="B991" t="s">
        <v>3</v>
      </c>
      <c r="C991" t="s">
        <v>59</v>
      </c>
      <c r="D991">
        <v>2.15865152034781</v>
      </c>
      <c r="E991">
        <v>2.1580306875106801</v>
      </c>
      <c r="F991">
        <v>2.1592725317891599</v>
      </c>
    </row>
    <row r="992" spans="1:6" x14ac:dyDescent="0.25">
      <c r="A992" s="22">
        <v>41821</v>
      </c>
      <c r="B992" t="s">
        <v>3</v>
      </c>
      <c r="C992" t="s">
        <v>59</v>
      </c>
      <c r="D992">
        <v>2.21490300706997</v>
      </c>
      <c r="E992">
        <v>2.2142659961239199</v>
      </c>
      <c r="F992">
        <v>2.2155402012744698</v>
      </c>
    </row>
    <row r="993" spans="1:6" x14ac:dyDescent="0.25">
      <c r="A993" s="22">
        <v>41852</v>
      </c>
      <c r="B993" t="s">
        <v>3</v>
      </c>
      <c r="C993" t="s">
        <v>59</v>
      </c>
      <c r="D993">
        <v>2.1072149860043701</v>
      </c>
      <c r="E993">
        <v>2.1066089463417499</v>
      </c>
      <c r="F993">
        <v>2.1078212000154699</v>
      </c>
    </row>
    <row r="994" spans="1:6" x14ac:dyDescent="0.25">
      <c r="A994" s="22">
        <v>41883</v>
      </c>
      <c r="B994" t="s">
        <v>3</v>
      </c>
      <c r="C994" t="s">
        <v>59</v>
      </c>
      <c r="D994">
        <v>2.1103713109643798</v>
      </c>
      <c r="E994">
        <v>2.1097643635310699</v>
      </c>
      <c r="F994">
        <v>2.11097843300734</v>
      </c>
    </row>
    <row r="995" spans="1:6" x14ac:dyDescent="0.25">
      <c r="A995" s="22">
        <v>41913</v>
      </c>
      <c r="B995" t="s">
        <v>3</v>
      </c>
      <c r="C995" t="s">
        <v>59</v>
      </c>
      <c r="D995">
        <v>2.04138202794537</v>
      </c>
      <c r="E995">
        <v>2.0407949218522701</v>
      </c>
      <c r="F995">
        <v>2.0419693029401</v>
      </c>
    </row>
    <row r="996" spans="1:6" x14ac:dyDescent="0.25">
      <c r="A996" s="22">
        <v>41944</v>
      </c>
      <c r="B996" t="s">
        <v>3</v>
      </c>
      <c r="C996" t="s">
        <v>59</v>
      </c>
      <c r="D996">
        <v>1.9911692688049201</v>
      </c>
      <c r="E996">
        <v>1.9905966038119201</v>
      </c>
      <c r="F996">
        <v>1.99174209854511</v>
      </c>
    </row>
    <row r="997" spans="1:6" x14ac:dyDescent="0.25">
      <c r="A997" s="22">
        <v>41974</v>
      </c>
      <c r="B997" t="s">
        <v>3</v>
      </c>
      <c r="C997" t="s">
        <v>59</v>
      </c>
      <c r="D997">
        <v>1.9718791750031599</v>
      </c>
      <c r="E997">
        <v>1.9713120577096199</v>
      </c>
      <c r="F997">
        <v>1.9724464554479499</v>
      </c>
    </row>
    <row r="998" spans="1:6" x14ac:dyDescent="0.25">
      <c r="A998" s="22">
        <v>42005</v>
      </c>
      <c r="B998" t="s">
        <v>3</v>
      </c>
      <c r="C998" t="s">
        <v>59</v>
      </c>
      <c r="D998">
        <v>1.92963290555982</v>
      </c>
      <c r="E998">
        <v>1.92907793809114</v>
      </c>
      <c r="F998">
        <v>1.93018803268453</v>
      </c>
    </row>
    <row r="999" spans="1:6" x14ac:dyDescent="0.25">
      <c r="A999" s="22">
        <v>42036</v>
      </c>
      <c r="B999" t="s">
        <v>3</v>
      </c>
      <c r="C999" t="s">
        <v>59</v>
      </c>
      <c r="D999">
        <v>1.3140761947344399</v>
      </c>
      <c r="E999">
        <v>1.31369826351484</v>
      </c>
      <c r="F999">
        <v>1.3144542346791701</v>
      </c>
    </row>
    <row r="1000" spans="1:6" x14ac:dyDescent="0.25">
      <c r="A1000" s="22">
        <v>42064</v>
      </c>
      <c r="B1000" t="s">
        <v>3</v>
      </c>
      <c r="C1000" t="s">
        <v>59</v>
      </c>
      <c r="D1000">
        <v>1.2989647913426301</v>
      </c>
      <c r="E1000">
        <v>1.2985912056309701</v>
      </c>
      <c r="F1000">
        <v>1.29933848452943</v>
      </c>
    </row>
    <row r="1001" spans="1:6" x14ac:dyDescent="0.25">
      <c r="A1001" s="22">
        <v>42095</v>
      </c>
      <c r="B1001" t="s">
        <v>3</v>
      </c>
      <c r="C1001" t="s">
        <v>59</v>
      </c>
      <c r="D1001">
        <v>1.3107152868242899</v>
      </c>
      <c r="E1001">
        <v>1.31033831953229</v>
      </c>
      <c r="F1001">
        <v>1.3110923625648701</v>
      </c>
    </row>
    <row r="1002" spans="1:6" x14ac:dyDescent="0.25">
      <c r="A1002" s="22">
        <v>42125</v>
      </c>
      <c r="B1002" t="s">
        <v>3</v>
      </c>
      <c r="C1002" t="s">
        <v>59</v>
      </c>
      <c r="D1002">
        <v>1.34852527763148</v>
      </c>
      <c r="E1002">
        <v>1.34813743852337</v>
      </c>
      <c r="F1002">
        <v>1.3489132283151299</v>
      </c>
    </row>
    <row r="1003" spans="1:6" x14ac:dyDescent="0.25">
      <c r="A1003" s="22">
        <v>42156</v>
      </c>
      <c r="B1003" t="s">
        <v>3</v>
      </c>
      <c r="C1003" t="s">
        <v>59</v>
      </c>
      <c r="D1003">
        <v>1.24396309156829</v>
      </c>
      <c r="E1003">
        <v>1.24360532539928</v>
      </c>
      <c r="F1003">
        <v>1.2443209606611501</v>
      </c>
    </row>
    <row r="1004" spans="1:6" x14ac:dyDescent="0.25">
      <c r="A1004" s="22">
        <v>42186</v>
      </c>
      <c r="B1004" t="s">
        <v>3</v>
      </c>
      <c r="C1004" t="s">
        <v>59</v>
      </c>
      <c r="D1004">
        <v>1.1588188185422901</v>
      </c>
      <c r="E1004">
        <v>1.1584855396960301</v>
      </c>
      <c r="F1004">
        <v>1.1591521932678699</v>
      </c>
    </row>
    <row r="1005" spans="1:6" x14ac:dyDescent="0.25">
      <c r="A1005" s="22">
        <v>42217</v>
      </c>
      <c r="B1005" t="s">
        <v>3</v>
      </c>
      <c r="C1005" t="s">
        <v>59</v>
      </c>
      <c r="D1005">
        <v>1.13303917891429</v>
      </c>
      <c r="E1005">
        <v>1.13271331406288</v>
      </c>
      <c r="F1005">
        <v>1.13336513751219</v>
      </c>
    </row>
    <row r="1006" spans="1:6" x14ac:dyDescent="0.25">
      <c r="A1006" s="22">
        <v>42248</v>
      </c>
      <c r="B1006" t="s">
        <v>3</v>
      </c>
      <c r="C1006" t="s">
        <v>59</v>
      </c>
      <c r="D1006">
        <v>1.15318354026068</v>
      </c>
      <c r="E1006">
        <v>1.1528518813975901</v>
      </c>
      <c r="F1006">
        <v>1.15351529453725</v>
      </c>
    </row>
    <row r="1007" spans="1:6" x14ac:dyDescent="0.25">
      <c r="A1007" s="22">
        <v>42278</v>
      </c>
      <c r="B1007" t="s">
        <v>3</v>
      </c>
      <c r="C1007" t="s">
        <v>59</v>
      </c>
      <c r="D1007">
        <v>1.1393483046772499</v>
      </c>
      <c r="E1007">
        <v>1.1390206251166599</v>
      </c>
      <c r="F1007">
        <v>1.1396760785064399</v>
      </c>
    </row>
    <row r="1008" spans="1:6" x14ac:dyDescent="0.25">
      <c r="A1008" s="22">
        <v>42309</v>
      </c>
      <c r="B1008" t="s">
        <v>3</v>
      </c>
      <c r="C1008" t="s">
        <v>59</v>
      </c>
      <c r="D1008">
        <v>1.1085671265177599</v>
      </c>
      <c r="E1008">
        <v>1.10824829978341</v>
      </c>
      <c r="F1008">
        <v>1.10888604497387</v>
      </c>
    </row>
    <row r="1009" spans="1:6" x14ac:dyDescent="0.25">
      <c r="A1009" s="22">
        <v>42339</v>
      </c>
      <c r="B1009" t="s">
        <v>3</v>
      </c>
      <c r="C1009" t="s">
        <v>59</v>
      </c>
      <c r="D1009">
        <v>1.06523000619055</v>
      </c>
      <c r="E1009">
        <v>1.0649236435032901</v>
      </c>
      <c r="F1009">
        <v>1.06553645701379</v>
      </c>
    </row>
    <row r="1010" spans="1:6" x14ac:dyDescent="0.25">
      <c r="A1010" s="22">
        <v>42370</v>
      </c>
      <c r="B1010" t="s">
        <v>3</v>
      </c>
      <c r="C1010" t="s">
        <v>59</v>
      </c>
      <c r="D1010">
        <v>1.0014662003444601</v>
      </c>
      <c r="E1010">
        <v>1.0011781760781</v>
      </c>
      <c r="F1010">
        <v>1.0017543074711699</v>
      </c>
    </row>
    <row r="1011" spans="1:6" x14ac:dyDescent="0.25">
      <c r="A1011" s="22">
        <v>42401</v>
      </c>
      <c r="B1011" t="s">
        <v>3</v>
      </c>
      <c r="C1011" t="s">
        <v>59</v>
      </c>
      <c r="D1011">
        <v>1.0983071575813901</v>
      </c>
      <c r="E1011">
        <v>1.09799128153799</v>
      </c>
      <c r="F1011">
        <v>1.0986231244977001</v>
      </c>
    </row>
    <row r="1012" spans="1:6" x14ac:dyDescent="0.25">
      <c r="A1012" s="22">
        <v>42430</v>
      </c>
      <c r="B1012" t="s">
        <v>3</v>
      </c>
      <c r="C1012" t="s">
        <v>59</v>
      </c>
      <c r="D1012">
        <v>1.03583476564215</v>
      </c>
      <c r="E1012">
        <v>1.03553685689705</v>
      </c>
      <c r="F1012">
        <v>1.03613276009122</v>
      </c>
    </row>
    <row r="1013" spans="1:6" x14ac:dyDescent="0.25">
      <c r="A1013" s="22">
        <v>42461</v>
      </c>
      <c r="B1013" t="s">
        <v>3</v>
      </c>
      <c r="C1013" t="s">
        <v>59</v>
      </c>
      <c r="D1013">
        <v>0.96663037201167801</v>
      </c>
      <c r="E1013">
        <v>0.96635236664491697</v>
      </c>
      <c r="F1013">
        <v>0.966908457356495</v>
      </c>
    </row>
    <row r="1014" spans="1:6" x14ac:dyDescent="0.25">
      <c r="A1014" s="22">
        <v>42491</v>
      </c>
      <c r="B1014" t="s">
        <v>3</v>
      </c>
      <c r="C1014" t="s">
        <v>59</v>
      </c>
      <c r="D1014">
        <v>0.97241689252568997</v>
      </c>
      <c r="E1014">
        <v>0.97213722300622196</v>
      </c>
      <c r="F1014">
        <v>0.97269664250194698</v>
      </c>
    </row>
    <row r="1015" spans="1:6" x14ac:dyDescent="0.25">
      <c r="A1015" s="22">
        <v>42522</v>
      </c>
      <c r="B1015" t="s">
        <v>3</v>
      </c>
      <c r="C1015" t="s">
        <v>59</v>
      </c>
      <c r="D1015">
        <v>0.95913843156262801</v>
      </c>
      <c r="E1015">
        <v>0.95886258087730203</v>
      </c>
      <c r="F1015">
        <v>0.95941436160614701</v>
      </c>
    </row>
    <row r="1016" spans="1:6" x14ac:dyDescent="0.25">
      <c r="A1016" s="22">
        <v>42552</v>
      </c>
      <c r="B1016" t="s">
        <v>3</v>
      </c>
      <c r="C1016" t="s">
        <v>59</v>
      </c>
      <c r="D1016">
        <v>1.0105787616079001</v>
      </c>
      <c r="E1016">
        <v>1.0102881165324999</v>
      </c>
      <c r="F1016">
        <v>1.0108694902976301</v>
      </c>
    </row>
    <row r="1017" spans="1:6" x14ac:dyDescent="0.25">
      <c r="A1017" s="22">
        <v>42583</v>
      </c>
      <c r="B1017" t="s">
        <v>3</v>
      </c>
      <c r="C1017" t="s">
        <v>59</v>
      </c>
      <c r="D1017">
        <v>0.96639488288075803</v>
      </c>
      <c r="E1017">
        <v>0.96611694522286296</v>
      </c>
      <c r="F1017">
        <v>0.96667290049723498</v>
      </c>
    </row>
    <row r="1018" spans="1:6" x14ac:dyDescent="0.25">
      <c r="A1018" s="22">
        <v>42614</v>
      </c>
      <c r="B1018" t="s">
        <v>3</v>
      </c>
      <c r="C1018" t="s">
        <v>59</v>
      </c>
      <c r="D1018">
        <v>0.95901393122219902</v>
      </c>
      <c r="E1018">
        <v>0.95873811631126205</v>
      </c>
      <c r="F1018">
        <v>0.95928982548104402</v>
      </c>
    </row>
    <row r="1019" spans="1:6" x14ac:dyDescent="0.25">
      <c r="A1019" s="22">
        <v>42644</v>
      </c>
      <c r="B1019" t="s">
        <v>3</v>
      </c>
      <c r="C1019" t="s">
        <v>59</v>
      </c>
      <c r="D1019">
        <v>0.96486985198240305</v>
      </c>
      <c r="E1019">
        <v>0.96459235284392997</v>
      </c>
      <c r="F1019">
        <v>0.965147430953327</v>
      </c>
    </row>
    <row r="1020" spans="1:6" x14ac:dyDescent="0.25">
      <c r="A1020" s="22">
        <v>42675</v>
      </c>
      <c r="B1020" t="s">
        <v>3</v>
      </c>
      <c r="C1020" t="s">
        <v>59</v>
      </c>
      <c r="D1020">
        <v>0.91580755812196402</v>
      </c>
      <c r="E1020">
        <v>0.91554416945305195</v>
      </c>
      <c r="F1020">
        <v>0.91607102256394402</v>
      </c>
    </row>
    <row r="1021" spans="1:6" x14ac:dyDescent="0.25">
      <c r="A1021" s="22">
        <v>42705</v>
      </c>
      <c r="B1021" t="s">
        <v>3</v>
      </c>
      <c r="C1021" t="s">
        <v>59</v>
      </c>
      <c r="D1021">
        <v>0.90376983572012504</v>
      </c>
      <c r="E1021">
        <v>0.90350990914691798</v>
      </c>
      <c r="F1021">
        <v>0.90402983707040196</v>
      </c>
    </row>
    <row r="1022" spans="1:6" x14ac:dyDescent="0.25">
      <c r="A1022" s="22">
        <v>42736</v>
      </c>
      <c r="B1022" t="s">
        <v>3</v>
      </c>
      <c r="C1022" t="s">
        <v>59</v>
      </c>
      <c r="D1022">
        <v>0.93155105841421304</v>
      </c>
      <c r="E1022">
        <v>0.93128314196592299</v>
      </c>
      <c r="F1022">
        <v>0.93181905193812098</v>
      </c>
    </row>
    <row r="1023" spans="1:6" x14ac:dyDescent="0.25">
      <c r="A1023" s="22">
        <v>42767</v>
      </c>
      <c r="B1023" t="s">
        <v>3</v>
      </c>
      <c r="C1023" t="s">
        <v>59</v>
      </c>
      <c r="D1023">
        <v>0.94999963027615597</v>
      </c>
      <c r="E1023">
        <v>0.94972640797285801</v>
      </c>
      <c r="F1023">
        <v>0.95027293118148803</v>
      </c>
    </row>
    <row r="1024" spans="1:6" x14ac:dyDescent="0.25">
      <c r="A1024" s="22">
        <v>42795</v>
      </c>
      <c r="B1024" t="s">
        <v>3</v>
      </c>
      <c r="C1024" t="s">
        <v>59</v>
      </c>
      <c r="D1024">
        <v>0.93799982218520395</v>
      </c>
      <c r="E1024">
        <v>0.93773005106515195</v>
      </c>
      <c r="F1024">
        <v>0.93826967091443303</v>
      </c>
    </row>
    <row r="1025" spans="1:6" x14ac:dyDescent="0.25">
      <c r="A1025" s="22">
        <v>42826</v>
      </c>
      <c r="B1025" t="s">
        <v>3</v>
      </c>
      <c r="C1025" t="s">
        <v>59</v>
      </c>
      <c r="D1025">
        <v>1.0170072728241399</v>
      </c>
      <c r="E1025">
        <v>1.01671477898602</v>
      </c>
      <c r="F1025">
        <v>1.0172998508084199</v>
      </c>
    </row>
    <row r="1026" spans="1:6" x14ac:dyDescent="0.25">
      <c r="A1026" s="22">
        <v>42856</v>
      </c>
      <c r="B1026" t="s">
        <v>3</v>
      </c>
      <c r="C1026" t="s">
        <v>59</v>
      </c>
      <c r="D1026">
        <v>0.96611865229223004</v>
      </c>
      <c r="E1026">
        <v>0.96584079414063895</v>
      </c>
      <c r="F1026">
        <v>0.96639659037951398</v>
      </c>
    </row>
    <row r="1027" spans="1:6" x14ac:dyDescent="0.25">
      <c r="A1027" s="22">
        <v>42887</v>
      </c>
      <c r="B1027" t="s">
        <v>3</v>
      </c>
      <c r="C1027" t="s">
        <v>59</v>
      </c>
      <c r="D1027">
        <v>0.96424335048785303</v>
      </c>
      <c r="E1027">
        <v>0.96396603171278294</v>
      </c>
      <c r="F1027">
        <v>0.96452074904343499</v>
      </c>
    </row>
    <row r="1028" spans="1:6" x14ac:dyDescent="0.25">
      <c r="A1028" s="22">
        <v>42917</v>
      </c>
      <c r="B1028" t="s">
        <v>3</v>
      </c>
      <c r="C1028" t="s">
        <v>59</v>
      </c>
      <c r="D1028">
        <v>0.97919178658784001</v>
      </c>
      <c r="E1028">
        <v>0.97891016852555301</v>
      </c>
      <c r="F1028">
        <v>0.97947348566750303</v>
      </c>
    </row>
    <row r="1029" spans="1:6" x14ac:dyDescent="0.25">
      <c r="A1029" s="22">
        <v>42948</v>
      </c>
      <c r="B1029" t="s">
        <v>3</v>
      </c>
      <c r="C1029" t="s">
        <v>59</v>
      </c>
      <c r="D1029">
        <v>0.98497877552021695</v>
      </c>
      <c r="E1029">
        <v>0.98469549312022298</v>
      </c>
      <c r="F1029">
        <v>0.98526213941638896</v>
      </c>
    </row>
    <row r="1030" spans="1:6" x14ac:dyDescent="0.25">
      <c r="A1030" s="22">
        <v>42979</v>
      </c>
      <c r="B1030" t="s">
        <v>3</v>
      </c>
      <c r="C1030" t="s">
        <v>59</v>
      </c>
      <c r="D1030">
        <v>0.95534665539723196</v>
      </c>
      <c r="E1030">
        <v>0.95507189525793101</v>
      </c>
      <c r="F1030">
        <v>0.955621494580984</v>
      </c>
    </row>
    <row r="1031" spans="1:6" x14ac:dyDescent="0.25">
      <c r="A1031" s="22">
        <v>43009</v>
      </c>
      <c r="B1031" t="s">
        <v>3</v>
      </c>
      <c r="C1031" t="s">
        <v>59</v>
      </c>
      <c r="D1031">
        <v>0.98373226369720401</v>
      </c>
      <c r="E1031">
        <v>0.98344933968124504</v>
      </c>
      <c r="F1031">
        <v>0.98401526910627202</v>
      </c>
    </row>
    <row r="1032" spans="1:6" x14ac:dyDescent="0.25">
      <c r="A1032" s="22">
        <v>43040</v>
      </c>
      <c r="B1032" t="s">
        <v>3</v>
      </c>
      <c r="C1032" t="s">
        <v>59</v>
      </c>
      <c r="D1032">
        <v>0.98275461127847497</v>
      </c>
      <c r="E1032">
        <v>0.98247196848322804</v>
      </c>
      <c r="F1032">
        <v>0.98303733538591398</v>
      </c>
    </row>
    <row r="1033" spans="1:6" x14ac:dyDescent="0.25">
      <c r="A1033" s="22">
        <v>43070</v>
      </c>
      <c r="B1033" t="s">
        <v>3</v>
      </c>
      <c r="C1033" t="s">
        <v>59</v>
      </c>
      <c r="D1033">
        <v>0.93801628628538702</v>
      </c>
      <c r="E1033">
        <v>0.93774651033077605</v>
      </c>
      <c r="F1033">
        <v>0.93828613985059295</v>
      </c>
    </row>
    <row r="1034" spans="1:6" x14ac:dyDescent="0.25">
      <c r="A1034" s="22">
        <v>43101</v>
      </c>
      <c r="B1034" t="s">
        <v>3</v>
      </c>
      <c r="C1034" t="s">
        <v>59</v>
      </c>
      <c r="D1034">
        <v>0.93263127577069305</v>
      </c>
      <c r="E1034">
        <v>0.93236304843726403</v>
      </c>
      <c r="F1034">
        <v>0.93289958026923803</v>
      </c>
    </row>
    <row r="1035" spans="1:6" x14ac:dyDescent="0.25">
      <c r="A1035" s="23">
        <v>43132</v>
      </c>
      <c r="B1035" t="s">
        <v>3</v>
      </c>
      <c r="C1035" t="s">
        <v>59</v>
      </c>
      <c r="D1035">
        <v>0.96093377402177804</v>
      </c>
      <c r="E1035">
        <v>0.96065740695810198</v>
      </c>
      <c r="F1035">
        <v>0.96121022059220995</v>
      </c>
    </row>
    <row r="1036" spans="1:6" x14ac:dyDescent="0.25">
      <c r="A1036" s="22">
        <v>43160</v>
      </c>
      <c r="B1036" t="s">
        <v>3</v>
      </c>
      <c r="C1036" t="s">
        <v>59</v>
      </c>
      <c r="D1036">
        <v>0.94608191879696502</v>
      </c>
      <c r="E1036">
        <v>0.94580982321692997</v>
      </c>
      <c r="F1036">
        <v>0.94635409265489701</v>
      </c>
    </row>
    <row r="1037" spans="1:6" x14ac:dyDescent="0.25">
      <c r="A1037" s="22">
        <v>43191</v>
      </c>
      <c r="B1037" t="s">
        <v>3</v>
      </c>
      <c r="C1037" t="s">
        <v>59</v>
      </c>
      <c r="D1037">
        <v>0.98477066846108696</v>
      </c>
      <c r="E1037">
        <v>0.98448744597517202</v>
      </c>
      <c r="F1037">
        <v>0.98505397242592396</v>
      </c>
    </row>
    <row r="1038" spans="1:6" x14ac:dyDescent="0.25">
      <c r="A1038" s="22">
        <v>43221</v>
      </c>
      <c r="B1038" t="s">
        <v>3</v>
      </c>
      <c r="C1038" t="s">
        <v>59</v>
      </c>
      <c r="D1038">
        <v>0.97013884673883799</v>
      </c>
      <c r="E1038">
        <v>0.96985983234638196</v>
      </c>
      <c r="F1038">
        <v>0.97041794139962501</v>
      </c>
    </row>
    <row r="1039" spans="1:6" x14ac:dyDescent="0.25">
      <c r="A1039" s="22">
        <v>43252</v>
      </c>
      <c r="B1039" t="s">
        <v>3</v>
      </c>
      <c r="C1039" t="s">
        <v>59</v>
      </c>
      <c r="D1039">
        <v>0.96186532832527305</v>
      </c>
      <c r="E1039">
        <v>0.96158869339692299</v>
      </c>
      <c r="F1039">
        <v>0.96214204283742399</v>
      </c>
    </row>
    <row r="1040" spans="1:6" x14ac:dyDescent="0.25">
      <c r="A1040" s="22">
        <v>43282</v>
      </c>
      <c r="B1040" t="s">
        <v>3</v>
      </c>
      <c r="C1040" t="s">
        <v>59</v>
      </c>
      <c r="D1040">
        <v>0.95610661288851495</v>
      </c>
      <c r="E1040">
        <v>0.95583163423152395</v>
      </c>
      <c r="F1040">
        <v>0.95638167065280899</v>
      </c>
    </row>
    <row r="1041" spans="1:6" x14ac:dyDescent="0.25">
      <c r="A1041" s="22">
        <v>43313</v>
      </c>
      <c r="B1041" t="s">
        <v>3</v>
      </c>
      <c r="C1041" t="s">
        <v>59</v>
      </c>
      <c r="D1041">
        <v>0.95218424281117997</v>
      </c>
      <c r="E1041">
        <v>0.95191039224229401</v>
      </c>
      <c r="F1041">
        <v>0.95245817216283202</v>
      </c>
    </row>
    <row r="1042" spans="1:6" x14ac:dyDescent="0.25">
      <c r="A1042" s="22">
        <v>43344</v>
      </c>
      <c r="B1042" t="s">
        <v>3</v>
      </c>
      <c r="C1042" t="s">
        <v>59</v>
      </c>
      <c r="D1042">
        <v>0.95306273139602504</v>
      </c>
      <c r="E1042">
        <v>0.95278862753561799</v>
      </c>
      <c r="F1042">
        <v>0.95333691411224997</v>
      </c>
    </row>
    <row r="1043" spans="1:6" x14ac:dyDescent="0.25">
      <c r="A1043" s="22">
        <v>43374</v>
      </c>
      <c r="B1043" t="s">
        <v>3</v>
      </c>
      <c r="C1043" t="s">
        <v>59</v>
      </c>
      <c r="D1043">
        <v>0.94882739244879999</v>
      </c>
      <c r="E1043">
        <v>0.82496988292069995</v>
      </c>
      <c r="F1043">
        <v>1.09128034768237</v>
      </c>
    </row>
    <row r="1044" spans="1:6" x14ac:dyDescent="0.25">
      <c r="A1044" s="22">
        <v>43405</v>
      </c>
      <c r="B1044" t="s">
        <v>3</v>
      </c>
      <c r="C1044" t="s">
        <v>59</v>
      </c>
      <c r="D1044">
        <v>0.89124539703449701</v>
      </c>
      <c r="E1044">
        <v>0.72927736986106195</v>
      </c>
      <c r="F1044">
        <v>1.0891855288016199</v>
      </c>
    </row>
    <row r="1045" spans="1:6" x14ac:dyDescent="0.25">
      <c r="A1045" s="22">
        <v>43435</v>
      </c>
      <c r="B1045" t="s">
        <v>3</v>
      </c>
      <c r="C1045" t="s">
        <v>59</v>
      </c>
      <c r="D1045">
        <v>0.86488389636929597</v>
      </c>
      <c r="E1045">
        <v>0.67472438243342703</v>
      </c>
      <c r="F1045">
        <v>1.10863661322146</v>
      </c>
    </row>
    <row r="1046" spans="1:6" x14ac:dyDescent="0.25">
      <c r="A1046" s="23">
        <v>43466</v>
      </c>
      <c r="B1046" t="s">
        <v>3</v>
      </c>
      <c r="C1046" t="s">
        <v>59</v>
      </c>
      <c r="D1046">
        <v>0.85027091627501294</v>
      </c>
      <c r="E1046">
        <v>0.63776332015244996</v>
      </c>
      <c r="F1046">
        <v>1.1335876620974901</v>
      </c>
    </row>
    <row r="1047" spans="1:6" x14ac:dyDescent="0.25">
      <c r="A1047" s="22">
        <v>43497</v>
      </c>
      <c r="B1047" t="s">
        <v>3</v>
      </c>
      <c r="C1047" t="s">
        <v>59</v>
      </c>
      <c r="D1047">
        <v>0.79387806685372897</v>
      </c>
      <c r="E1047">
        <v>0.57140988337903798</v>
      </c>
      <c r="F1047">
        <v>1.1029602451124401</v>
      </c>
    </row>
    <row r="1048" spans="1:6" x14ac:dyDescent="0.25">
      <c r="A1048" s="22">
        <v>43525</v>
      </c>
      <c r="B1048" t="s">
        <v>3</v>
      </c>
      <c r="C1048" t="s">
        <v>59</v>
      </c>
      <c r="D1048">
        <v>0.79144447690775099</v>
      </c>
      <c r="E1048">
        <v>0.54901939450475201</v>
      </c>
      <c r="F1048">
        <v>1.140914813388</v>
      </c>
    </row>
    <row r="1049" spans="1:6" x14ac:dyDescent="0.25">
      <c r="A1049" s="22">
        <v>43556</v>
      </c>
      <c r="B1049" t="s">
        <v>3</v>
      </c>
      <c r="C1049" t="s">
        <v>59</v>
      </c>
      <c r="D1049">
        <v>0.80386083426140498</v>
      </c>
      <c r="E1049">
        <v>0.54226677344766006</v>
      </c>
      <c r="F1049">
        <v>1.1916500742817699</v>
      </c>
    </row>
    <row r="1050" spans="1:6" x14ac:dyDescent="0.25">
      <c r="A1050" s="22">
        <v>43586</v>
      </c>
      <c r="B1050" t="s">
        <v>3</v>
      </c>
      <c r="C1050" t="s">
        <v>59</v>
      </c>
      <c r="D1050">
        <v>0.79160475621760595</v>
      </c>
      <c r="E1050">
        <v>0.51848263137237705</v>
      </c>
      <c r="F1050">
        <v>1.20859996487767</v>
      </c>
    </row>
    <row r="1051" spans="1:6" x14ac:dyDescent="0.25">
      <c r="A1051" s="22">
        <v>43617</v>
      </c>
      <c r="B1051" t="s">
        <v>3</v>
      </c>
      <c r="C1051" t="s">
        <v>59</v>
      </c>
      <c r="D1051">
        <v>0.78847253039257303</v>
      </c>
      <c r="E1051">
        <v>0.504357970026033</v>
      </c>
      <c r="F1051">
        <v>1.23263429573955</v>
      </c>
    </row>
    <row r="1052" spans="1:6" x14ac:dyDescent="0.25">
      <c r="A1052" s="22">
        <v>43647</v>
      </c>
      <c r="B1052" t="s">
        <v>3</v>
      </c>
      <c r="C1052" t="s">
        <v>59</v>
      </c>
      <c r="D1052">
        <v>0.79566211983284496</v>
      </c>
      <c r="E1052">
        <v>0.49558216586058501</v>
      </c>
      <c r="F1052">
        <v>1.27744348475</v>
      </c>
    </row>
    <row r="1053" spans="1:6" x14ac:dyDescent="0.25">
      <c r="A1053" s="22">
        <v>43678</v>
      </c>
      <c r="B1053" t="s">
        <v>3</v>
      </c>
      <c r="C1053" t="s">
        <v>59</v>
      </c>
      <c r="D1053">
        <v>0.78115845852630805</v>
      </c>
      <c r="E1053">
        <v>0.47563766121631501</v>
      </c>
      <c r="F1053">
        <v>1.2829272933660301</v>
      </c>
    </row>
    <row r="1054" spans="1:6" x14ac:dyDescent="0.25">
      <c r="A1054" s="22">
        <v>43709</v>
      </c>
      <c r="B1054" t="s">
        <v>3</v>
      </c>
      <c r="C1054" t="s">
        <v>59</v>
      </c>
      <c r="D1054">
        <v>0.76764195314127204</v>
      </c>
      <c r="E1054">
        <v>0.45639125780335599</v>
      </c>
      <c r="F1054">
        <v>1.2911600696708501</v>
      </c>
    </row>
    <row r="1055" spans="1:6" x14ac:dyDescent="0.25">
      <c r="A1055" s="22">
        <v>43739</v>
      </c>
      <c r="B1055" t="s">
        <v>3</v>
      </c>
      <c r="C1055" t="s">
        <v>59</v>
      </c>
      <c r="D1055">
        <v>0.76297999205987099</v>
      </c>
      <c r="E1055">
        <v>0.43962574330385501</v>
      </c>
      <c r="F1055">
        <v>1.3241682889378199</v>
      </c>
    </row>
    <row r="1056" spans="1:6" x14ac:dyDescent="0.25">
      <c r="A1056" s="22">
        <v>43770</v>
      </c>
      <c r="B1056" t="s">
        <v>3</v>
      </c>
      <c r="C1056" t="s">
        <v>59</v>
      </c>
      <c r="D1056">
        <v>0.71546475794465003</v>
      </c>
      <c r="E1056">
        <v>0.39950000030917499</v>
      </c>
      <c r="F1056">
        <v>1.28132620641963</v>
      </c>
    </row>
    <row r="1057" spans="1:6" x14ac:dyDescent="0.25">
      <c r="A1057" s="23">
        <v>43800</v>
      </c>
      <c r="B1057" t="s">
        <v>3</v>
      </c>
      <c r="C1057" t="s">
        <v>59</v>
      </c>
      <c r="D1057">
        <v>0.69316636005500698</v>
      </c>
      <c r="E1057">
        <v>0.37429460101755102</v>
      </c>
      <c r="F1057">
        <v>1.28369365041784</v>
      </c>
    </row>
    <row r="1058" spans="1:6" x14ac:dyDescent="0.25">
      <c r="A1058" s="23">
        <v>43831</v>
      </c>
      <c r="B1058" t="s">
        <v>3</v>
      </c>
      <c r="C1058" t="s">
        <v>59</v>
      </c>
      <c r="D1058">
        <v>0.680444802256437</v>
      </c>
      <c r="E1058">
        <v>0.35844743837276799</v>
      </c>
      <c r="F1058">
        <v>1.2916960183052</v>
      </c>
    </row>
    <row r="1059" spans="1:6" x14ac:dyDescent="0.25">
      <c r="A1059" s="22">
        <v>43862</v>
      </c>
      <c r="B1059" t="s">
        <v>3</v>
      </c>
      <c r="C1059" t="s">
        <v>59</v>
      </c>
      <c r="D1059">
        <v>0.63437387576739002</v>
      </c>
      <c r="E1059">
        <v>0.32345140254832</v>
      </c>
      <c r="F1059">
        <v>1.2441752024742601</v>
      </c>
    </row>
    <row r="1060" spans="1:6" x14ac:dyDescent="0.25">
      <c r="A1060" s="22">
        <v>43891</v>
      </c>
      <c r="B1060" t="s">
        <v>3</v>
      </c>
      <c r="C1060" t="s">
        <v>59</v>
      </c>
      <c r="D1060">
        <v>0.63158263416709004</v>
      </c>
      <c r="E1060">
        <v>0.31283937069488998</v>
      </c>
      <c r="F1060">
        <v>1.27508447193011</v>
      </c>
    </row>
    <row r="1061" spans="1:6" x14ac:dyDescent="0.25">
      <c r="A1061" s="22">
        <v>43922</v>
      </c>
      <c r="B1061" t="s">
        <v>3</v>
      </c>
      <c r="C1061" t="s">
        <v>59</v>
      </c>
      <c r="D1061">
        <v>0.64019922836226895</v>
      </c>
      <c r="E1061">
        <v>0.31093975192203999</v>
      </c>
      <c r="F1061">
        <v>1.3181172541052399</v>
      </c>
    </row>
    <row r="1062" spans="1:6" x14ac:dyDescent="0.25">
      <c r="A1062" s="22">
        <v>43952</v>
      </c>
      <c r="B1062" t="s">
        <v>3</v>
      </c>
      <c r="C1062" t="s">
        <v>59</v>
      </c>
      <c r="D1062">
        <v>0.62920977594158201</v>
      </c>
      <c r="E1062">
        <v>0.29862949680587503</v>
      </c>
      <c r="F1062">
        <v>1.3257395748746701</v>
      </c>
    </row>
    <row r="1063" spans="1:6" x14ac:dyDescent="0.25">
      <c r="A1063" s="22">
        <v>43983</v>
      </c>
      <c r="B1063" t="s">
        <v>3</v>
      </c>
      <c r="C1063" t="s">
        <v>59</v>
      </c>
      <c r="D1063">
        <v>0.62545804572227603</v>
      </c>
      <c r="E1063">
        <v>0.29182016836814201</v>
      </c>
      <c r="F1063">
        <v>1.3405439697547501</v>
      </c>
    </row>
    <row r="1064" spans="1:6" x14ac:dyDescent="0.25">
      <c r="A1064" s="22">
        <v>44013</v>
      </c>
      <c r="B1064" t="s">
        <v>3</v>
      </c>
      <c r="C1064" t="s">
        <v>59</v>
      </c>
      <c r="D1064">
        <v>0.63057792083575603</v>
      </c>
      <c r="E1064">
        <v>0.28828661297736302</v>
      </c>
      <c r="F1064">
        <v>1.37928192412031</v>
      </c>
    </row>
    <row r="1065" spans="1:6" x14ac:dyDescent="0.25">
      <c r="A1065" s="22">
        <v>44044</v>
      </c>
      <c r="B1065" t="s">
        <v>3</v>
      </c>
      <c r="C1065" t="s">
        <v>59</v>
      </c>
      <c r="D1065">
        <v>0.61849229602599398</v>
      </c>
      <c r="E1065">
        <v>0.27816256648710103</v>
      </c>
      <c r="F1065">
        <v>1.37521279399486</v>
      </c>
    </row>
    <row r="1066" spans="1:6" x14ac:dyDescent="0.25">
      <c r="A1066" s="22">
        <v>44075</v>
      </c>
      <c r="B1066" t="s">
        <v>3</v>
      </c>
      <c r="C1066" t="s">
        <v>59</v>
      </c>
      <c r="D1066">
        <v>0.60721002543097302</v>
      </c>
      <c r="E1066">
        <v>0.26800498038632797</v>
      </c>
      <c r="F1066">
        <v>1.3757356839130299</v>
      </c>
    </row>
    <row r="1067" spans="1:6" x14ac:dyDescent="0.25">
      <c r="A1067" s="22">
        <v>44105</v>
      </c>
      <c r="B1067" t="s">
        <v>3</v>
      </c>
      <c r="C1067" t="s">
        <v>59</v>
      </c>
      <c r="D1067">
        <v>0.60222747208220595</v>
      </c>
      <c r="E1067">
        <v>0.25861459847162599</v>
      </c>
      <c r="F1067">
        <v>1.4023876852810999</v>
      </c>
    </row>
    <row r="1068" spans="1:6" x14ac:dyDescent="0.25">
      <c r="A1068" s="22">
        <v>44136</v>
      </c>
      <c r="B1068" t="s">
        <v>3</v>
      </c>
      <c r="C1068" t="s">
        <v>59</v>
      </c>
      <c r="D1068">
        <v>0.56347123208533201</v>
      </c>
      <c r="E1068">
        <v>0.23505220247704101</v>
      </c>
      <c r="F1068">
        <v>1.35076304770544</v>
      </c>
    </row>
    <row r="1069" spans="1:6" x14ac:dyDescent="0.25">
      <c r="A1069" s="23">
        <v>44166</v>
      </c>
      <c r="B1069" t="s">
        <v>3</v>
      </c>
      <c r="C1069" t="s">
        <v>59</v>
      </c>
      <c r="D1069">
        <v>0.54473861428647596</v>
      </c>
      <c r="E1069">
        <v>0.22027053259253401</v>
      </c>
      <c r="F1069">
        <v>1.34716230265659</v>
      </c>
    </row>
    <row r="1070" spans="1:6" x14ac:dyDescent="0.25">
      <c r="A1070" s="22">
        <v>41640</v>
      </c>
      <c r="B1070" t="s">
        <v>3</v>
      </c>
      <c r="C1070" t="s">
        <v>60</v>
      </c>
      <c r="D1070">
        <v>1.9594747349999999</v>
      </c>
      <c r="E1070">
        <v>1.9594747349999999</v>
      </c>
      <c r="F1070">
        <v>1.9594747349999999</v>
      </c>
    </row>
    <row r="1071" spans="1:6" x14ac:dyDescent="0.25">
      <c r="A1071" s="22">
        <v>41671</v>
      </c>
      <c r="B1071" t="s">
        <v>3</v>
      </c>
      <c r="C1071" t="s">
        <v>60</v>
      </c>
      <c r="D1071">
        <v>1.94170307933562</v>
      </c>
      <c r="E1071">
        <v>1.9411446410429301</v>
      </c>
      <c r="F1071">
        <v>1.9422616782826601</v>
      </c>
    </row>
    <row r="1072" spans="1:6" x14ac:dyDescent="0.25">
      <c r="A1072" s="22">
        <v>41699</v>
      </c>
      <c r="B1072" t="s">
        <v>3</v>
      </c>
      <c r="C1072" t="s">
        <v>60</v>
      </c>
      <c r="D1072">
        <v>2.0251044969425598</v>
      </c>
      <c r="E1072">
        <v>2.0245220740310299</v>
      </c>
      <c r="F1072">
        <v>2.0256870874079298</v>
      </c>
    </row>
    <row r="1073" spans="1:6" x14ac:dyDescent="0.25">
      <c r="A1073" s="22">
        <v>41730</v>
      </c>
      <c r="B1073" t="s">
        <v>3</v>
      </c>
      <c r="C1073" t="s">
        <v>60</v>
      </c>
      <c r="D1073">
        <v>2.05972213769715</v>
      </c>
      <c r="E1073">
        <v>2.05912975697338</v>
      </c>
      <c r="F1073">
        <v>2.0603146888399602</v>
      </c>
    </row>
    <row r="1074" spans="1:6" x14ac:dyDescent="0.25">
      <c r="A1074" s="22">
        <v>41760</v>
      </c>
      <c r="B1074" t="s">
        <v>3</v>
      </c>
      <c r="C1074" t="s">
        <v>60</v>
      </c>
      <c r="D1074">
        <v>2.0573758829344402</v>
      </c>
      <c r="E1074">
        <v>2.0567841768916799</v>
      </c>
      <c r="F1074">
        <v>2.0579677592021901</v>
      </c>
    </row>
    <row r="1075" spans="1:6" x14ac:dyDescent="0.25">
      <c r="A1075" s="22">
        <v>41791</v>
      </c>
      <c r="B1075" t="s">
        <v>3</v>
      </c>
      <c r="C1075" t="s">
        <v>60</v>
      </c>
      <c r="D1075">
        <v>2.15865152034781</v>
      </c>
      <c r="E1075">
        <v>2.1580306875106801</v>
      </c>
      <c r="F1075">
        <v>2.1592725317891599</v>
      </c>
    </row>
    <row r="1076" spans="1:6" x14ac:dyDescent="0.25">
      <c r="A1076" s="22">
        <v>41821</v>
      </c>
      <c r="B1076" t="s">
        <v>3</v>
      </c>
      <c r="C1076" t="s">
        <v>60</v>
      </c>
      <c r="D1076">
        <v>2.21490300706997</v>
      </c>
      <c r="E1076">
        <v>2.2142659961239199</v>
      </c>
      <c r="F1076">
        <v>2.2155402012744698</v>
      </c>
    </row>
    <row r="1077" spans="1:6" x14ac:dyDescent="0.25">
      <c r="A1077" s="22">
        <v>41852</v>
      </c>
      <c r="B1077" t="s">
        <v>3</v>
      </c>
      <c r="C1077" t="s">
        <v>60</v>
      </c>
      <c r="D1077">
        <v>2.1072149860043701</v>
      </c>
      <c r="E1077">
        <v>2.1066089463417499</v>
      </c>
      <c r="F1077">
        <v>2.1078212000154699</v>
      </c>
    </row>
    <row r="1078" spans="1:6" x14ac:dyDescent="0.25">
      <c r="A1078" s="22">
        <v>41883</v>
      </c>
      <c r="B1078" t="s">
        <v>3</v>
      </c>
      <c r="C1078" t="s">
        <v>60</v>
      </c>
      <c r="D1078">
        <v>2.1103713109643798</v>
      </c>
      <c r="E1078">
        <v>2.1097643635310699</v>
      </c>
      <c r="F1078">
        <v>2.11097843300734</v>
      </c>
    </row>
    <row r="1079" spans="1:6" x14ac:dyDescent="0.25">
      <c r="A1079" s="22">
        <v>41913</v>
      </c>
      <c r="B1079" t="s">
        <v>3</v>
      </c>
      <c r="C1079" t="s">
        <v>60</v>
      </c>
      <c r="D1079">
        <v>2.04138202794537</v>
      </c>
      <c r="E1079">
        <v>2.0407949218522701</v>
      </c>
      <c r="F1079">
        <v>2.0419693029401</v>
      </c>
    </row>
    <row r="1080" spans="1:6" x14ac:dyDescent="0.25">
      <c r="A1080" s="22">
        <v>41944</v>
      </c>
      <c r="B1080" t="s">
        <v>3</v>
      </c>
      <c r="C1080" t="s">
        <v>60</v>
      </c>
      <c r="D1080">
        <v>1.9911692688049201</v>
      </c>
      <c r="E1080">
        <v>1.9905966038119201</v>
      </c>
      <c r="F1080">
        <v>1.99174209854511</v>
      </c>
    </row>
    <row r="1081" spans="1:6" x14ac:dyDescent="0.25">
      <c r="A1081" s="22">
        <v>41974</v>
      </c>
      <c r="B1081" t="s">
        <v>3</v>
      </c>
      <c r="C1081" t="s">
        <v>60</v>
      </c>
      <c r="D1081">
        <v>1.9718791750031599</v>
      </c>
      <c r="E1081">
        <v>1.9713120577096199</v>
      </c>
      <c r="F1081">
        <v>1.9724464554479499</v>
      </c>
    </row>
    <row r="1082" spans="1:6" x14ac:dyDescent="0.25">
      <c r="A1082" s="22">
        <v>42005</v>
      </c>
      <c r="B1082" t="s">
        <v>3</v>
      </c>
      <c r="C1082" t="s">
        <v>60</v>
      </c>
      <c r="D1082">
        <v>1.92963290555982</v>
      </c>
      <c r="E1082">
        <v>1.92907793809114</v>
      </c>
      <c r="F1082">
        <v>1.93018803268453</v>
      </c>
    </row>
    <row r="1083" spans="1:6" x14ac:dyDescent="0.25">
      <c r="A1083" s="22">
        <v>42036</v>
      </c>
      <c r="B1083" t="s">
        <v>3</v>
      </c>
      <c r="C1083" t="s">
        <v>60</v>
      </c>
      <c r="D1083">
        <v>1.3140761947344399</v>
      </c>
      <c r="E1083">
        <v>1.31369826351484</v>
      </c>
      <c r="F1083">
        <v>1.3144542346791701</v>
      </c>
    </row>
    <row r="1084" spans="1:6" x14ac:dyDescent="0.25">
      <c r="A1084" s="22">
        <v>42064</v>
      </c>
      <c r="B1084" t="s">
        <v>3</v>
      </c>
      <c r="C1084" t="s">
        <v>60</v>
      </c>
      <c r="D1084">
        <v>1.2989647913426301</v>
      </c>
      <c r="E1084">
        <v>1.2985912056309701</v>
      </c>
      <c r="F1084">
        <v>1.29933848452943</v>
      </c>
    </row>
    <row r="1085" spans="1:6" x14ac:dyDescent="0.25">
      <c r="A1085" s="22">
        <v>42095</v>
      </c>
      <c r="B1085" t="s">
        <v>3</v>
      </c>
      <c r="C1085" t="s">
        <v>60</v>
      </c>
      <c r="D1085">
        <v>1.3107152868242899</v>
      </c>
      <c r="E1085">
        <v>1.31033831953229</v>
      </c>
      <c r="F1085">
        <v>1.3110923625648701</v>
      </c>
    </row>
    <row r="1086" spans="1:6" x14ac:dyDescent="0.25">
      <c r="A1086" s="22">
        <v>42125</v>
      </c>
      <c r="B1086" t="s">
        <v>3</v>
      </c>
      <c r="C1086" t="s">
        <v>60</v>
      </c>
      <c r="D1086">
        <v>1.34852527763148</v>
      </c>
      <c r="E1086">
        <v>1.34813743852337</v>
      </c>
      <c r="F1086">
        <v>1.3489132283151299</v>
      </c>
    </row>
    <row r="1087" spans="1:6" x14ac:dyDescent="0.25">
      <c r="A1087" s="22">
        <v>42156</v>
      </c>
      <c r="B1087" t="s">
        <v>3</v>
      </c>
      <c r="C1087" t="s">
        <v>60</v>
      </c>
      <c r="D1087">
        <v>1.24396309156829</v>
      </c>
      <c r="E1087">
        <v>1.24360532539928</v>
      </c>
      <c r="F1087">
        <v>1.2443209606611501</v>
      </c>
    </row>
    <row r="1088" spans="1:6" x14ac:dyDescent="0.25">
      <c r="A1088" s="22">
        <v>42186</v>
      </c>
      <c r="B1088" t="s">
        <v>3</v>
      </c>
      <c r="C1088" t="s">
        <v>60</v>
      </c>
      <c r="D1088">
        <v>1.1588188185422901</v>
      </c>
      <c r="E1088">
        <v>1.1584855396960301</v>
      </c>
      <c r="F1088">
        <v>1.1591521932678699</v>
      </c>
    </row>
    <row r="1089" spans="1:6" x14ac:dyDescent="0.25">
      <c r="A1089" s="22">
        <v>42217</v>
      </c>
      <c r="B1089" t="s">
        <v>3</v>
      </c>
      <c r="C1089" t="s">
        <v>60</v>
      </c>
      <c r="D1089">
        <v>1.13303917891429</v>
      </c>
      <c r="E1089">
        <v>1.13271331406288</v>
      </c>
      <c r="F1089">
        <v>1.13336513751219</v>
      </c>
    </row>
    <row r="1090" spans="1:6" x14ac:dyDescent="0.25">
      <c r="A1090" s="22">
        <v>42248</v>
      </c>
      <c r="B1090" t="s">
        <v>3</v>
      </c>
      <c r="C1090" t="s">
        <v>60</v>
      </c>
      <c r="D1090">
        <v>1.15318354026068</v>
      </c>
      <c r="E1090">
        <v>1.1528518813975901</v>
      </c>
      <c r="F1090">
        <v>1.15351529453725</v>
      </c>
    </row>
    <row r="1091" spans="1:6" x14ac:dyDescent="0.25">
      <c r="A1091" s="22">
        <v>42278</v>
      </c>
      <c r="B1091" t="s">
        <v>3</v>
      </c>
      <c r="C1091" t="s">
        <v>60</v>
      </c>
      <c r="D1091">
        <v>1.1393483046772499</v>
      </c>
      <c r="E1091">
        <v>1.1390206251166599</v>
      </c>
      <c r="F1091">
        <v>1.1396760785064399</v>
      </c>
    </row>
    <row r="1092" spans="1:6" x14ac:dyDescent="0.25">
      <c r="A1092" s="22">
        <v>42309</v>
      </c>
      <c r="B1092" t="s">
        <v>3</v>
      </c>
      <c r="C1092" t="s">
        <v>60</v>
      </c>
      <c r="D1092">
        <v>1.1085671265177599</v>
      </c>
      <c r="E1092">
        <v>1.10824829978341</v>
      </c>
      <c r="F1092">
        <v>1.10888604497387</v>
      </c>
    </row>
    <row r="1093" spans="1:6" x14ac:dyDescent="0.25">
      <c r="A1093" s="22">
        <v>42339</v>
      </c>
      <c r="B1093" t="s">
        <v>3</v>
      </c>
      <c r="C1093" t="s">
        <v>60</v>
      </c>
      <c r="D1093">
        <v>1.06523000619055</v>
      </c>
      <c r="E1093">
        <v>1.0649236435032901</v>
      </c>
      <c r="F1093">
        <v>1.06553645701379</v>
      </c>
    </row>
    <row r="1094" spans="1:6" x14ac:dyDescent="0.25">
      <c r="A1094" s="22">
        <v>42370</v>
      </c>
      <c r="B1094" t="s">
        <v>3</v>
      </c>
      <c r="C1094" t="s">
        <v>60</v>
      </c>
      <c r="D1094">
        <v>1.0014662003444601</v>
      </c>
      <c r="E1094">
        <v>1.0011781760781</v>
      </c>
      <c r="F1094">
        <v>1.0017543074711699</v>
      </c>
    </row>
    <row r="1095" spans="1:6" x14ac:dyDescent="0.25">
      <c r="A1095" s="22">
        <v>42401</v>
      </c>
      <c r="B1095" t="s">
        <v>3</v>
      </c>
      <c r="C1095" t="s">
        <v>60</v>
      </c>
      <c r="D1095">
        <v>1.0983071575813901</v>
      </c>
      <c r="E1095">
        <v>1.09799128153799</v>
      </c>
      <c r="F1095">
        <v>1.0986231244977001</v>
      </c>
    </row>
    <row r="1096" spans="1:6" x14ac:dyDescent="0.25">
      <c r="A1096" s="22">
        <v>42430</v>
      </c>
      <c r="B1096" t="s">
        <v>3</v>
      </c>
      <c r="C1096" t="s">
        <v>60</v>
      </c>
      <c r="D1096">
        <v>1.03583476564215</v>
      </c>
      <c r="E1096">
        <v>1.03553685689705</v>
      </c>
      <c r="F1096">
        <v>1.03613276009122</v>
      </c>
    </row>
    <row r="1097" spans="1:6" x14ac:dyDescent="0.25">
      <c r="A1097" s="22">
        <v>42461</v>
      </c>
      <c r="B1097" t="s">
        <v>3</v>
      </c>
      <c r="C1097" t="s">
        <v>60</v>
      </c>
      <c r="D1097">
        <v>0.96663037201167801</v>
      </c>
      <c r="E1097">
        <v>0.96635236664491697</v>
      </c>
      <c r="F1097">
        <v>0.966908457356495</v>
      </c>
    </row>
    <row r="1098" spans="1:6" x14ac:dyDescent="0.25">
      <c r="A1098" s="22">
        <v>42491</v>
      </c>
      <c r="B1098" t="s">
        <v>3</v>
      </c>
      <c r="C1098" t="s">
        <v>60</v>
      </c>
      <c r="D1098">
        <v>0.97241689252568997</v>
      </c>
      <c r="E1098">
        <v>0.97213722300622196</v>
      </c>
      <c r="F1098">
        <v>0.97269664250194698</v>
      </c>
    </row>
    <row r="1099" spans="1:6" x14ac:dyDescent="0.25">
      <c r="A1099" s="22">
        <v>42522</v>
      </c>
      <c r="B1099" t="s">
        <v>3</v>
      </c>
      <c r="C1099" t="s">
        <v>60</v>
      </c>
      <c r="D1099">
        <v>0.95913843156262801</v>
      </c>
      <c r="E1099">
        <v>0.95886258087730203</v>
      </c>
      <c r="F1099">
        <v>0.95941436160614701</v>
      </c>
    </row>
    <row r="1100" spans="1:6" x14ac:dyDescent="0.25">
      <c r="A1100" s="22">
        <v>42552</v>
      </c>
      <c r="B1100" t="s">
        <v>3</v>
      </c>
      <c r="C1100" t="s">
        <v>60</v>
      </c>
      <c r="D1100">
        <v>1.0105787616079001</v>
      </c>
      <c r="E1100">
        <v>1.0102881165324999</v>
      </c>
      <c r="F1100">
        <v>1.0108694902976301</v>
      </c>
    </row>
    <row r="1101" spans="1:6" x14ac:dyDescent="0.25">
      <c r="A1101" s="22">
        <v>42583</v>
      </c>
      <c r="B1101" t="s">
        <v>3</v>
      </c>
      <c r="C1101" t="s">
        <v>60</v>
      </c>
      <c r="D1101">
        <v>0.96639488288075803</v>
      </c>
      <c r="E1101">
        <v>0.96611694522286296</v>
      </c>
      <c r="F1101">
        <v>0.96667290049723498</v>
      </c>
    </row>
    <row r="1102" spans="1:6" x14ac:dyDescent="0.25">
      <c r="A1102" s="22">
        <v>42614</v>
      </c>
      <c r="B1102" t="s">
        <v>3</v>
      </c>
      <c r="C1102" t="s">
        <v>60</v>
      </c>
      <c r="D1102">
        <v>0.95901393122219902</v>
      </c>
      <c r="E1102">
        <v>0.95873811631126205</v>
      </c>
      <c r="F1102">
        <v>0.95928982548104402</v>
      </c>
    </row>
    <row r="1103" spans="1:6" x14ac:dyDescent="0.25">
      <c r="A1103" s="22">
        <v>42644</v>
      </c>
      <c r="B1103" t="s">
        <v>3</v>
      </c>
      <c r="C1103" t="s">
        <v>60</v>
      </c>
      <c r="D1103">
        <v>0.96486985198240305</v>
      </c>
      <c r="E1103">
        <v>0.96459235284392997</v>
      </c>
      <c r="F1103">
        <v>0.965147430953327</v>
      </c>
    </row>
    <row r="1104" spans="1:6" x14ac:dyDescent="0.25">
      <c r="A1104" s="22">
        <v>42675</v>
      </c>
      <c r="B1104" t="s">
        <v>3</v>
      </c>
      <c r="C1104" t="s">
        <v>60</v>
      </c>
      <c r="D1104">
        <v>0.91580755812196402</v>
      </c>
      <c r="E1104">
        <v>0.91554416945305195</v>
      </c>
      <c r="F1104">
        <v>0.91607102256394402</v>
      </c>
    </row>
    <row r="1105" spans="1:6" x14ac:dyDescent="0.25">
      <c r="A1105" s="22">
        <v>42705</v>
      </c>
      <c r="B1105" t="s">
        <v>3</v>
      </c>
      <c r="C1105" t="s">
        <v>60</v>
      </c>
      <c r="D1105">
        <v>0.90376983572012504</v>
      </c>
      <c r="E1105">
        <v>0.90350990914691798</v>
      </c>
      <c r="F1105">
        <v>0.90402983707040196</v>
      </c>
    </row>
    <row r="1106" spans="1:6" x14ac:dyDescent="0.25">
      <c r="A1106" s="22">
        <v>42736</v>
      </c>
      <c r="B1106" t="s">
        <v>3</v>
      </c>
      <c r="C1106" t="s">
        <v>60</v>
      </c>
      <c r="D1106">
        <v>0.93155105841421304</v>
      </c>
      <c r="E1106">
        <v>0.93128314196592299</v>
      </c>
      <c r="F1106">
        <v>0.93181905193812098</v>
      </c>
    </row>
    <row r="1107" spans="1:6" x14ac:dyDescent="0.25">
      <c r="A1107" s="22">
        <v>42767</v>
      </c>
      <c r="B1107" t="s">
        <v>3</v>
      </c>
      <c r="C1107" t="s">
        <v>60</v>
      </c>
      <c r="D1107">
        <v>0.94999963027615597</v>
      </c>
      <c r="E1107">
        <v>0.94972640797285801</v>
      </c>
      <c r="F1107">
        <v>0.95027293118148803</v>
      </c>
    </row>
    <row r="1108" spans="1:6" x14ac:dyDescent="0.25">
      <c r="A1108" s="22">
        <v>42795</v>
      </c>
      <c r="B1108" t="s">
        <v>3</v>
      </c>
      <c r="C1108" t="s">
        <v>60</v>
      </c>
      <c r="D1108">
        <v>0.93799982218520395</v>
      </c>
      <c r="E1108">
        <v>0.93773005106515195</v>
      </c>
      <c r="F1108">
        <v>0.93826967091443303</v>
      </c>
    </row>
    <row r="1109" spans="1:6" x14ac:dyDescent="0.25">
      <c r="A1109" s="22">
        <v>42826</v>
      </c>
      <c r="B1109" t="s">
        <v>3</v>
      </c>
      <c r="C1109" t="s">
        <v>60</v>
      </c>
      <c r="D1109">
        <v>1.0170072728241399</v>
      </c>
      <c r="E1109">
        <v>1.01671477898602</v>
      </c>
      <c r="F1109">
        <v>1.0172998508084199</v>
      </c>
    </row>
    <row r="1110" spans="1:6" x14ac:dyDescent="0.25">
      <c r="A1110" s="22">
        <v>42856</v>
      </c>
      <c r="B1110" t="s">
        <v>3</v>
      </c>
      <c r="C1110" t="s">
        <v>60</v>
      </c>
      <c r="D1110">
        <v>0.96611865229223004</v>
      </c>
      <c r="E1110">
        <v>0.96584079414063895</v>
      </c>
      <c r="F1110">
        <v>0.96639659037951398</v>
      </c>
    </row>
    <row r="1111" spans="1:6" x14ac:dyDescent="0.25">
      <c r="A1111" s="22">
        <v>42887</v>
      </c>
      <c r="B1111" t="s">
        <v>3</v>
      </c>
      <c r="C1111" t="s">
        <v>60</v>
      </c>
      <c r="D1111">
        <v>0.96424335048785303</v>
      </c>
      <c r="E1111">
        <v>0.96396603171278294</v>
      </c>
      <c r="F1111">
        <v>0.96452074904343499</v>
      </c>
    </row>
    <row r="1112" spans="1:6" x14ac:dyDescent="0.25">
      <c r="A1112" s="22">
        <v>42917</v>
      </c>
      <c r="B1112" t="s">
        <v>3</v>
      </c>
      <c r="C1112" t="s">
        <v>60</v>
      </c>
      <c r="D1112">
        <v>0.97919178658784001</v>
      </c>
      <c r="E1112">
        <v>0.97891016852555301</v>
      </c>
      <c r="F1112">
        <v>0.97947348566750303</v>
      </c>
    </row>
    <row r="1113" spans="1:6" x14ac:dyDescent="0.25">
      <c r="A1113" s="22">
        <v>42948</v>
      </c>
      <c r="B1113" t="s">
        <v>3</v>
      </c>
      <c r="C1113" t="s">
        <v>60</v>
      </c>
      <c r="D1113">
        <v>0.98497877552021695</v>
      </c>
      <c r="E1113">
        <v>0.98469549312022298</v>
      </c>
      <c r="F1113">
        <v>0.98526213941638896</v>
      </c>
    </row>
    <row r="1114" spans="1:6" x14ac:dyDescent="0.25">
      <c r="A1114" s="22">
        <v>42979</v>
      </c>
      <c r="B1114" t="s">
        <v>3</v>
      </c>
      <c r="C1114" t="s">
        <v>60</v>
      </c>
      <c r="D1114">
        <v>0.95534665539723196</v>
      </c>
      <c r="E1114">
        <v>0.95507189525793101</v>
      </c>
      <c r="F1114">
        <v>0.955621494580984</v>
      </c>
    </row>
    <row r="1115" spans="1:6" x14ac:dyDescent="0.25">
      <c r="A1115" s="22">
        <v>43009</v>
      </c>
      <c r="B1115" t="s">
        <v>3</v>
      </c>
      <c r="C1115" t="s">
        <v>60</v>
      </c>
      <c r="D1115">
        <v>0.98373226369720401</v>
      </c>
      <c r="E1115">
        <v>0.98344933968124504</v>
      </c>
      <c r="F1115">
        <v>0.98401526910627202</v>
      </c>
    </row>
    <row r="1116" spans="1:6" x14ac:dyDescent="0.25">
      <c r="A1116" s="22">
        <v>43040</v>
      </c>
      <c r="B1116" t="s">
        <v>3</v>
      </c>
      <c r="C1116" t="s">
        <v>60</v>
      </c>
      <c r="D1116">
        <v>0.98275461127847497</v>
      </c>
      <c r="E1116">
        <v>0.98247196848322804</v>
      </c>
      <c r="F1116">
        <v>0.98303733538591398</v>
      </c>
    </row>
    <row r="1117" spans="1:6" x14ac:dyDescent="0.25">
      <c r="A1117" s="22">
        <v>43070</v>
      </c>
      <c r="B1117" t="s">
        <v>3</v>
      </c>
      <c r="C1117" t="s">
        <v>60</v>
      </c>
      <c r="D1117">
        <v>0.93801628628538702</v>
      </c>
      <c r="E1117">
        <v>0.93774651033077605</v>
      </c>
      <c r="F1117">
        <v>0.93828613985059295</v>
      </c>
    </row>
    <row r="1118" spans="1:6" x14ac:dyDescent="0.25">
      <c r="A1118" s="22">
        <v>43101</v>
      </c>
      <c r="B1118" t="s">
        <v>3</v>
      </c>
      <c r="C1118" t="s">
        <v>60</v>
      </c>
      <c r="D1118">
        <v>0.93263127577069305</v>
      </c>
      <c r="E1118">
        <v>0.93236304843726403</v>
      </c>
      <c r="F1118">
        <v>0.93289958026923803</v>
      </c>
    </row>
    <row r="1119" spans="1:6" x14ac:dyDescent="0.25">
      <c r="A1119" s="23">
        <v>43132</v>
      </c>
      <c r="B1119" t="s">
        <v>3</v>
      </c>
      <c r="C1119" t="s">
        <v>60</v>
      </c>
      <c r="D1119">
        <v>0.96093377402177804</v>
      </c>
      <c r="E1119">
        <v>0.96065740695810198</v>
      </c>
      <c r="F1119">
        <v>0.96121022059220995</v>
      </c>
    </row>
    <row r="1120" spans="1:6" x14ac:dyDescent="0.25">
      <c r="A1120" s="22">
        <v>43160</v>
      </c>
      <c r="B1120" t="s">
        <v>3</v>
      </c>
      <c r="C1120" t="s">
        <v>60</v>
      </c>
      <c r="D1120">
        <v>0.94608191879696502</v>
      </c>
      <c r="E1120">
        <v>0.94580982321692997</v>
      </c>
      <c r="F1120">
        <v>0.94635409265489701</v>
      </c>
    </row>
    <row r="1121" spans="1:6" x14ac:dyDescent="0.25">
      <c r="A1121" s="22">
        <v>43191</v>
      </c>
      <c r="B1121" t="s">
        <v>3</v>
      </c>
      <c r="C1121" t="s">
        <v>60</v>
      </c>
      <c r="D1121">
        <v>0.98477066846108696</v>
      </c>
      <c r="E1121">
        <v>0.98448744597517202</v>
      </c>
      <c r="F1121">
        <v>0.98505397242592396</v>
      </c>
    </row>
    <row r="1122" spans="1:6" x14ac:dyDescent="0.25">
      <c r="A1122" s="22">
        <v>43221</v>
      </c>
      <c r="B1122" t="s">
        <v>3</v>
      </c>
      <c r="C1122" t="s">
        <v>60</v>
      </c>
      <c r="D1122">
        <v>0.97013884673883799</v>
      </c>
      <c r="E1122">
        <v>0.96985983234638196</v>
      </c>
      <c r="F1122">
        <v>0.97041794139962501</v>
      </c>
    </row>
    <row r="1123" spans="1:6" x14ac:dyDescent="0.25">
      <c r="A1123" s="22">
        <v>43252</v>
      </c>
      <c r="B1123" t="s">
        <v>3</v>
      </c>
      <c r="C1123" t="s">
        <v>60</v>
      </c>
      <c r="D1123">
        <v>0.96186532832527305</v>
      </c>
      <c r="E1123">
        <v>0.96158869339692299</v>
      </c>
      <c r="F1123">
        <v>0.96214204283742399</v>
      </c>
    </row>
    <row r="1124" spans="1:6" x14ac:dyDescent="0.25">
      <c r="A1124" s="22">
        <v>43282</v>
      </c>
      <c r="B1124" t="s">
        <v>3</v>
      </c>
      <c r="C1124" t="s">
        <v>60</v>
      </c>
      <c r="D1124">
        <v>0.95610661288851495</v>
      </c>
      <c r="E1124">
        <v>0.95583163423152395</v>
      </c>
      <c r="F1124">
        <v>0.95638167065280899</v>
      </c>
    </row>
    <row r="1125" spans="1:6" x14ac:dyDescent="0.25">
      <c r="A1125" s="22">
        <v>43313</v>
      </c>
      <c r="B1125" t="s">
        <v>3</v>
      </c>
      <c r="C1125" t="s">
        <v>60</v>
      </c>
      <c r="D1125">
        <v>0.95218424281117997</v>
      </c>
      <c r="E1125">
        <v>0.95191039224229401</v>
      </c>
      <c r="F1125">
        <v>0.95245817216283202</v>
      </c>
    </row>
    <row r="1126" spans="1:6" x14ac:dyDescent="0.25">
      <c r="A1126" s="22">
        <v>43344</v>
      </c>
      <c r="B1126" t="s">
        <v>3</v>
      </c>
      <c r="C1126" t="s">
        <v>60</v>
      </c>
      <c r="D1126">
        <v>0.95306273139602504</v>
      </c>
      <c r="E1126">
        <v>0.95278862753561799</v>
      </c>
      <c r="F1126">
        <v>0.95333691411224997</v>
      </c>
    </row>
    <row r="1127" spans="1:6" x14ac:dyDescent="0.25">
      <c r="A1127" s="22">
        <v>43374</v>
      </c>
      <c r="B1127" t="s">
        <v>3</v>
      </c>
      <c r="C1127" t="s">
        <v>60</v>
      </c>
      <c r="D1127">
        <v>0.97297294983698202</v>
      </c>
      <c r="E1127">
        <v>0.84434213767322297</v>
      </c>
      <c r="F1127">
        <v>1.1211999483091799</v>
      </c>
    </row>
    <row r="1128" spans="1:6" x14ac:dyDescent="0.25">
      <c r="A1128" s="22">
        <v>43405</v>
      </c>
      <c r="B1128" t="s">
        <v>3</v>
      </c>
      <c r="C1128" t="s">
        <v>60</v>
      </c>
      <c r="D1128">
        <v>0.93720982346596104</v>
      </c>
      <c r="E1128">
        <v>0.76449261817801595</v>
      </c>
      <c r="F1128">
        <v>1.1489479849974999</v>
      </c>
    </row>
    <row r="1129" spans="1:6" x14ac:dyDescent="0.25">
      <c r="A1129" s="22">
        <v>43435</v>
      </c>
      <c r="B1129" t="s">
        <v>3</v>
      </c>
      <c r="C1129" t="s">
        <v>60</v>
      </c>
      <c r="D1129">
        <v>0.93276199155213702</v>
      </c>
      <c r="E1129">
        <v>0.72596277564976697</v>
      </c>
      <c r="F1129">
        <v>1.1984704478898101</v>
      </c>
    </row>
    <row r="1130" spans="1:6" x14ac:dyDescent="0.25">
      <c r="A1130" s="23">
        <v>43466</v>
      </c>
      <c r="B1130" t="s">
        <v>3</v>
      </c>
      <c r="C1130" t="s">
        <v>60</v>
      </c>
      <c r="D1130">
        <v>0.94133841961401798</v>
      </c>
      <c r="E1130">
        <v>0.702973590839437</v>
      </c>
      <c r="F1130">
        <v>1.2605281788513301</v>
      </c>
    </row>
    <row r="1131" spans="1:6" x14ac:dyDescent="0.25">
      <c r="A1131" s="22">
        <v>43497</v>
      </c>
      <c r="B1131" t="s">
        <v>3</v>
      </c>
      <c r="C1131" t="s">
        <v>60</v>
      </c>
      <c r="D1131">
        <v>0.90200442224739796</v>
      </c>
      <c r="E1131">
        <v>0.65434015263758805</v>
      </c>
      <c r="F1131">
        <v>1.2434083014381201</v>
      </c>
    </row>
    <row r="1132" spans="1:6" x14ac:dyDescent="0.25">
      <c r="A1132" s="22">
        <v>43525</v>
      </c>
      <c r="B1132" t="s">
        <v>3</v>
      </c>
      <c r="C1132" t="s">
        <v>60</v>
      </c>
      <c r="D1132">
        <v>0.92111854500752799</v>
      </c>
      <c r="E1132">
        <v>0.64839665958904202</v>
      </c>
      <c r="F1132">
        <v>1.30854988440956</v>
      </c>
    </row>
    <row r="1133" spans="1:6" x14ac:dyDescent="0.25">
      <c r="A1133" s="22">
        <v>43556</v>
      </c>
      <c r="B1133" t="s">
        <v>3</v>
      </c>
      <c r="C1133" t="s">
        <v>60</v>
      </c>
      <c r="D1133">
        <v>0.94687466457746805</v>
      </c>
      <c r="E1133">
        <v>0.64914953038878298</v>
      </c>
      <c r="F1133">
        <v>1.3811480844509401</v>
      </c>
    </row>
    <row r="1134" spans="1:6" x14ac:dyDescent="0.25">
      <c r="A1134" s="22">
        <v>43586</v>
      </c>
      <c r="B1134" t="s">
        <v>3</v>
      </c>
      <c r="C1134" t="s">
        <v>60</v>
      </c>
      <c r="D1134">
        <v>0.94282048033749899</v>
      </c>
      <c r="E1134">
        <v>0.63204295126439303</v>
      </c>
      <c r="F1134">
        <v>1.40640830874797</v>
      </c>
    </row>
    <row r="1135" spans="1:6" x14ac:dyDescent="0.25">
      <c r="A1135" s="22">
        <v>43617</v>
      </c>
      <c r="B1135" t="s">
        <v>3</v>
      </c>
      <c r="C1135" t="s">
        <v>60</v>
      </c>
      <c r="D1135">
        <v>0.95027727991487199</v>
      </c>
      <c r="E1135">
        <v>0.621199756886609</v>
      </c>
      <c r="F1135">
        <v>1.45368200600768</v>
      </c>
    </row>
    <row r="1136" spans="1:6" x14ac:dyDescent="0.25">
      <c r="A1136" s="22">
        <v>43647</v>
      </c>
      <c r="B1136" t="s">
        <v>3</v>
      </c>
      <c r="C1136" t="s">
        <v>60</v>
      </c>
      <c r="D1136">
        <v>0.96797554823270204</v>
      </c>
      <c r="E1136">
        <v>0.61870209756515504</v>
      </c>
      <c r="F1136">
        <v>1.5144229600380901</v>
      </c>
    </row>
    <row r="1137" spans="1:6" x14ac:dyDescent="0.25">
      <c r="A1137" s="22">
        <v>43678</v>
      </c>
      <c r="B1137" t="s">
        <v>3</v>
      </c>
      <c r="C1137" t="s">
        <v>60</v>
      </c>
      <c r="D1137">
        <v>0.95957678644871403</v>
      </c>
      <c r="E1137">
        <v>0.59956906908927299</v>
      </c>
      <c r="F1137">
        <v>1.5357490180237101</v>
      </c>
    </row>
    <row r="1138" spans="1:6" x14ac:dyDescent="0.25">
      <c r="A1138" s="22">
        <v>43709</v>
      </c>
      <c r="B1138" t="s">
        <v>3</v>
      </c>
      <c r="C1138" t="s">
        <v>60</v>
      </c>
      <c r="D1138">
        <v>0.95160126530600997</v>
      </c>
      <c r="E1138">
        <v>0.583504713007718</v>
      </c>
      <c r="F1138">
        <v>1.5519068620102501</v>
      </c>
    </row>
    <row r="1139" spans="1:6" x14ac:dyDescent="0.25">
      <c r="A1139" s="22">
        <v>43739</v>
      </c>
      <c r="B1139" t="s">
        <v>3</v>
      </c>
      <c r="C1139" t="s">
        <v>60</v>
      </c>
      <c r="D1139">
        <v>0.95800966278462396</v>
      </c>
      <c r="E1139">
        <v>0.56995815530331995</v>
      </c>
      <c r="F1139">
        <v>1.61026297360424</v>
      </c>
    </row>
    <row r="1140" spans="1:6" x14ac:dyDescent="0.25">
      <c r="A1140" s="22">
        <v>43770</v>
      </c>
      <c r="B1140" t="s">
        <v>3</v>
      </c>
      <c r="C1140" t="s">
        <v>60</v>
      </c>
      <c r="D1140">
        <v>0.90901567432971997</v>
      </c>
      <c r="E1140">
        <v>0.52815964940743099</v>
      </c>
      <c r="F1140">
        <v>1.5645070521843101</v>
      </c>
    </row>
    <row r="1141" spans="1:6" x14ac:dyDescent="0.25">
      <c r="A1141" s="23">
        <v>43800</v>
      </c>
      <c r="B1141" t="s">
        <v>3</v>
      </c>
      <c r="C1141" t="s">
        <v>60</v>
      </c>
      <c r="D1141">
        <v>0.89215647082530702</v>
      </c>
      <c r="E1141">
        <v>0.50228837692306205</v>
      </c>
      <c r="F1141">
        <v>1.5846338577676999</v>
      </c>
    </row>
    <row r="1142" spans="1:6" x14ac:dyDescent="0.25">
      <c r="A1142" s="23">
        <v>43831</v>
      </c>
      <c r="B1142" t="s">
        <v>3</v>
      </c>
      <c r="C1142" t="s">
        <v>60</v>
      </c>
      <c r="D1142">
        <v>0.87821003886730897</v>
      </c>
      <c r="E1142">
        <v>0.48197605702206597</v>
      </c>
      <c r="F1142">
        <v>1.6001891818705201</v>
      </c>
    </row>
    <row r="1143" spans="1:6" x14ac:dyDescent="0.25">
      <c r="A1143" s="22">
        <v>43862</v>
      </c>
      <c r="B1143" t="s">
        <v>3</v>
      </c>
      <c r="C1143" t="s">
        <v>60</v>
      </c>
      <c r="D1143">
        <v>0.82048866294367195</v>
      </c>
      <c r="E1143">
        <v>0.43868179506635102</v>
      </c>
      <c r="F1143">
        <v>1.5346012840976699</v>
      </c>
    </row>
    <row r="1144" spans="1:6" x14ac:dyDescent="0.25">
      <c r="A1144" s="22">
        <v>43891</v>
      </c>
      <c r="B1144" t="s">
        <v>3</v>
      </c>
      <c r="C1144" t="s">
        <v>60</v>
      </c>
      <c r="D1144">
        <v>0.819422887043879</v>
      </c>
      <c r="E1144">
        <v>0.425360068192489</v>
      </c>
      <c r="F1144">
        <v>1.5785540722347999</v>
      </c>
    </row>
    <row r="1145" spans="1:6" x14ac:dyDescent="0.25">
      <c r="A1145" s="22">
        <v>43922</v>
      </c>
      <c r="B1145" t="s">
        <v>3</v>
      </c>
      <c r="C1145" t="s">
        <v>60</v>
      </c>
      <c r="D1145">
        <v>0.81460155067016005</v>
      </c>
      <c r="E1145">
        <v>0.41431405593290399</v>
      </c>
      <c r="F1145">
        <v>1.60162484678457</v>
      </c>
    </row>
    <row r="1146" spans="1:6" x14ac:dyDescent="0.25">
      <c r="A1146" s="22">
        <v>43952</v>
      </c>
      <c r="B1146" t="s">
        <v>3</v>
      </c>
      <c r="C1146" t="s">
        <v>60</v>
      </c>
      <c r="D1146">
        <v>0.78576460517562696</v>
      </c>
      <c r="E1146">
        <v>0.39106467118795002</v>
      </c>
      <c r="F1146">
        <v>1.5788335286622399</v>
      </c>
    </row>
    <row r="1147" spans="1:6" x14ac:dyDescent="0.25">
      <c r="A1147" s="22">
        <v>43983</v>
      </c>
      <c r="B1147" t="s">
        <v>3</v>
      </c>
      <c r="C1147" t="s">
        <v>60</v>
      </c>
      <c r="D1147">
        <v>0.76620519430655898</v>
      </c>
      <c r="E1147">
        <v>0.373562240253769</v>
      </c>
      <c r="F1147">
        <v>1.5715464158892001</v>
      </c>
    </row>
    <row r="1148" spans="1:6" x14ac:dyDescent="0.25">
      <c r="A1148" s="22">
        <v>44013</v>
      </c>
      <c r="B1148" t="s">
        <v>3</v>
      </c>
      <c r="C1148" t="s">
        <v>60</v>
      </c>
      <c r="D1148">
        <v>0.75695232808416002</v>
      </c>
      <c r="E1148">
        <v>0.360787869732133</v>
      </c>
      <c r="F1148">
        <v>1.58812663911743</v>
      </c>
    </row>
    <row r="1149" spans="1:6" x14ac:dyDescent="0.25">
      <c r="A1149" s="22">
        <v>44044</v>
      </c>
      <c r="B1149" t="s">
        <v>3</v>
      </c>
      <c r="C1149" t="s">
        <v>60</v>
      </c>
      <c r="D1149">
        <v>0.72701696885313305</v>
      </c>
      <c r="E1149">
        <v>0.33985013218286497</v>
      </c>
      <c r="F1149">
        <v>1.5552551638143699</v>
      </c>
    </row>
    <row r="1150" spans="1:6" x14ac:dyDescent="0.25">
      <c r="A1150" s="22">
        <v>44075</v>
      </c>
      <c r="B1150" t="s">
        <v>3</v>
      </c>
      <c r="C1150" t="s">
        <v>60</v>
      </c>
      <c r="D1150">
        <v>0.69852265715625494</v>
      </c>
      <c r="E1150">
        <v>0.32009656943820702</v>
      </c>
      <c r="F1150">
        <v>1.5243334329292999</v>
      </c>
    </row>
    <row r="1151" spans="1:6" x14ac:dyDescent="0.25">
      <c r="A1151" s="22">
        <v>44105</v>
      </c>
      <c r="B1151" t="s">
        <v>3</v>
      </c>
      <c r="C1151" t="s">
        <v>60</v>
      </c>
      <c r="D1151">
        <v>0.68752921015332302</v>
      </c>
      <c r="E1151">
        <v>0.30576035831868997</v>
      </c>
      <c r="F1151">
        <v>1.5459702409210501</v>
      </c>
    </row>
    <row r="1152" spans="1:6" x14ac:dyDescent="0.25">
      <c r="A1152" s="22">
        <v>44136</v>
      </c>
      <c r="B1152" t="s">
        <v>3</v>
      </c>
      <c r="C1152" t="s">
        <v>60</v>
      </c>
      <c r="D1152">
        <v>0.63731758741478595</v>
      </c>
      <c r="E1152">
        <v>0.27523650855264498</v>
      </c>
      <c r="F1152">
        <v>1.47572612864515</v>
      </c>
    </row>
    <row r="1153" spans="1:6" x14ac:dyDescent="0.25">
      <c r="A1153" s="23">
        <v>44166</v>
      </c>
      <c r="B1153" t="s">
        <v>3</v>
      </c>
      <c r="C1153" t="s">
        <v>60</v>
      </c>
      <c r="D1153">
        <v>0.611535030181932</v>
      </c>
      <c r="E1153">
        <v>0.255231130226933</v>
      </c>
      <c r="F1153">
        <v>1.465240908533</v>
      </c>
    </row>
  </sheetData>
  <autoFilter ref="A1:F66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Configuraciones</vt:lpstr>
      <vt:lpstr>EstimacionesCom</vt:lpstr>
      <vt:lpstr>EstimacionesHip</vt:lpstr>
      <vt:lpstr>EstimacionesCons</vt:lpstr>
      <vt:lpstr>SeriesFinales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BRM08192</dc:creator>
  <cp:lastModifiedBy>BRM08192</cp:lastModifiedBy>
  <dcterms:created xsi:type="dcterms:W3CDTF">2017-08-08T04:03:08Z</dcterms:created>
  <dcterms:modified xsi:type="dcterms:W3CDTF">2018-10-29T17:54:19Z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134a396d-0e80-4d89-b395-db6968c9903f</vt:lpwstr>
  </property>
</Properties>
</file>